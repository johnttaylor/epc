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firmware-ramblings\PIM - SEQUEL\chapters-initial draft\"/>
    </mc:Choice>
  </mc:AlternateContent>
  <xr:revisionPtr revIDLastSave="0" documentId="13_ncr:1_{8B7AF59C-5213-4570-9EA9-8DB0B82486FE}" xr6:coauthVersionLast="47" xr6:coauthVersionMax="47" xr10:uidLastSave="{00000000-0000-0000-0000-000000000000}"/>
  <bookViews>
    <workbookView xWindow="1500" yWindow="1500" windowWidth="16740" windowHeight="14676" xr2:uid="{FA7DD847-F66C-4168-92D2-4672D39ACC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X2" i="1"/>
  <c r="O2" i="1" a="1"/>
  <c r="O34" i="1" a="1"/>
  <c r="O2" i="1" l="1"/>
  <c r="C64" i="1"/>
  <c r="D64" i="1" s="1"/>
  <c r="E64" i="1" s="1"/>
  <c r="C988" i="1"/>
  <c r="D988" i="1" s="1"/>
  <c r="E988" i="1" s="1"/>
  <c r="C992" i="1"/>
  <c r="D992" i="1" s="1"/>
  <c r="E992" i="1" s="1"/>
  <c r="C1025" i="1"/>
  <c r="D1025" i="1" s="1"/>
  <c r="E1025" i="1" s="1"/>
  <c r="C896" i="1"/>
  <c r="D896" i="1" s="1"/>
  <c r="E896" i="1" s="1"/>
  <c r="O34" i="1"/>
  <c r="C993" i="1"/>
  <c r="D993" i="1" s="1"/>
  <c r="E993" i="1" s="1"/>
  <c r="C1007" i="1"/>
  <c r="D1007" i="1" s="1"/>
  <c r="E1007" i="1" s="1"/>
  <c r="C991" i="1"/>
  <c r="D991" i="1" s="1"/>
  <c r="E991" i="1" s="1"/>
  <c r="C943" i="1"/>
  <c r="D943" i="1" s="1"/>
  <c r="E943" i="1" s="1"/>
  <c r="C879" i="1"/>
  <c r="D879" i="1" s="1"/>
  <c r="E879" i="1" s="1"/>
  <c r="C831" i="1"/>
  <c r="D831" i="1" s="1"/>
  <c r="E831" i="1" s="1"/>
  <c r="C783" i="1"/>
  <c r="D783" i="1" s="1"/>
  <c r="E783" i="1" s="1"/>
  <c r="C575" i="1"/>
  <c r="D575" i="1" s="1"/>
  <c r="E575" i="1" s="1"/>
  <c r="C838" i="1"/>
  <c r="D838" i="1" s="1"/>
  <c r="E838" i="1" s="1"/>
  <c r="C1009" i="1"/>
  <c r="D1009" i="1" s="1"/>
  <c r="E1009" i="1" s="1"/>
  <c r="C912" i="1"/>
  <c r="D912" i="1" s="1"/>
  <c r="E912" i="1" s="1"/>
  <c r="C1023" i="1"/>
  <c r="D1023" i="1" s="1"/>
  <c r="E1023" i="1" s="1"/>
  <c r="C827" i="1"/>
  <c r="D827" i="1" s="1"/>
  <c r="E827" i="1" s="1"/>
  <c r="C881" i="1"/>
  <c r="D881" i="1" s="1"/>
  <c r="E881" i="1" s="1"/>
  <c r="C1008" i="1"/>
  <c r="D1008" i="1" s="1"/>
  <c r="E1008" i="1" s="1"/>
  <c r="C1016" i="1"/>
  <c r="D1016" i="1" s="1"/>
  <c r="E1016" i="1" s="1"/>
  <c r="C855" i="1"/>
  <c r="D855" i="1" s="1"/>
  <c r="E855" i="1" s="1"/>
  <c r="C891" i="1"/>
  <c r="D891" i="1" s="1"/>
  <c r="E891" i="1" s="1"/>
  <c r="C1006" i="1"/>
  <c r="D1006" i="1" s="1"/>
  <c r="E1006" i="1" s="1"/>
  <c r="C725" i="1"/>
  <c r="D725" i="1" s="1"/>
  <c r="E725" i="1" s="1"/>
  <c r="C965" i="1"/>
  <c r="D965" i="1" s="1"/>
  <c r="E965" i="1" s="1"/>
  <c r="C681" i="1"/>
  <c r="D681" i="1" s="1"/>
  <c r="E681" i="1" s="1"/>
  <c r="C1015" i="1"/>
  <c r="D1015" i="1" s="1"/>
  <c r="E1015" i="1" s="1"/>
  <c r="C967" i="1"/>
  <c r="D967" i="1" s="1"/>
  <c r="E967" i="1" s="1"/>
  <c r="C951" i="1"/>
  <c r="D951" i="1" s="1"/>
  <c r="E951" i="1" s="1"/>
  <c r="C839" i="1"/>
  <c r="D839" i="1" s="1"/>
  <c r="E839" i="1" s="1"/>
  <c r="C775" i="1"/>
  <c r="D775" i="1" s="1"/>
  <c r="E775" i="1" s="1"/>
  <c r="C759" i="1"/>
  <c r="D759" i="1" s="1"/>
  <c r="E759" i="1" s="1"/>
  <c r="C727" i="1"/>
  <c r="D727" i="1" s="1"/>
  <c r="E727" i="1" s="1"/>
  <c r="C711" i="1"/>
  <c r="D711" i="1" s="1"/>
  <c r="E711" i="1" s="1"/>
  <c r="C695" i="1"/>
  <c r="D695" i="1" s="1"/>
  <c r="E695" i="1" s="1"/>
  <c r="C487" i="1"/>
  <c r="D487" i="1" s="1"/>
  <c r="E487" i="1" s="1"/>
  <c r="C1001" i="1"/>
  <c r="D1001" i="1" s="1"/>
  <c r="E1001" i="1" s="1"/>
  <c r="C791" i="1"/>
  <c r="D791" i="1" s="1"/>
  <c r="E791" i="1" s="1"/>
  <c r="C949" i="1"/>
  <c r="D949" i="1" s="1"/>
  <c r="E949" i="1" s="1"/>
  <c r="C948" i="1"/>
  <c r="D948" i="1" s="1"/>
  <c r="E948" i="1" s="1"/>
  <c r="C573" i="1"/>
  <c r="D573" i="1" s="1"/>
  <c r="E573" i="1" s="1"/>
  <c r="C997" i="1"/>
  <c r="D997" i="1" s="1"/>
  <c r="E997" i="1" s="1"/>
  <c r="C1017" i="1"/>
  <c r="D1017" i="1" s="1"/>
  <c r="E1017" i="1" s="1"/>
  <c r="C939" i="1"/>
  <c r="D939" i="1" s="1"/>
  <c r="E939" i="1" s="1"/>
  <c r="C475" i="1"/>
  <c r="D475" i="1" s="1"/>
  <c r="E475" i="1" s="1"/>
  <c r="C971" i="1"/>
  <c r="D971" i="1" s="1"/>
  <c r="E971" i="1" s="1"/>
  <c r="C923" i="1"/>
  <c r="D923" i="1" s="1"/>
  <c r="E923" i="1" s="1"/>
  <c r="C445" i="1"/>
  <c r="D445" i="1" s="1"/>
  <c r="E445" i="1" s="1"/>
  <c r="C1019" i="1"/>
  <c r="D1019" i="1" s="1"/>
  <c r="E1019" i="1" s="1"/>
  <c r="C672" i="1"/>
  <c r="D672" i="1" s="1"/>
  <c r="E672" i="1" s="1"/>
  <c r="C869" i="1"/>
  <c r="D869" i="1" s="1"/>
  <c r="E869" i="1" s="1"/>
  <c r="C810" i="1"/>
  <c r="D810" i="1" s="1"/>
  <c r="E810" i="1" s="1"/>
  <c r="C922" i="1"/>
  <c r="D922" i="1" s="1"/>
  <c r="E922" i="1" s="1"/>
  <c r="C362" i="1"/>
  <c r="D362" i="1" s="1"/>
  <c r="E362" i="1" s="1"/>
  <c r="C615" i="1"/>
  <c r="D615" i="1" s="1"/>
  <c r="E615" i="1" s="1"/>
  <c r="C919" i="1"/>
  <c r="D919" i="1" s="1"/>
  <c r="E919" i="1" s="1"/>
  <c r="C183" i="1"/>
  <c r="D183" i="1" s="1"/>
  <c r="E183" i="1" s="1"/>
  <c r="C748" i="1"/>
  <c r="D748" i="1" s="1"/>
  <c r="E748" i="1" s="1"/>
  <c r="C314" i="1"/>
  <c r="D314" i="1" s="1"/>
  <c r="E314" i="1" s="1"/>
  <c r="C964" i="1"/>
  <c r="D964" i="1" s="1"/>
  <c r="E964" i="1" s="1"/>
  <c r="C886" i="1"/>
  <c r="D886" i="1" s="1"/>
  <c r="E886" i="1" s="1"/>
  <c r="C788" i="1"/>
  <c r="D788" i="1" s="1"/>
  <c r="E788" i="1" s="1"/>
  <c r="C703" i="1"/>
  <c r="D703" i="1" s="1"/>
  <c r="E703" i="1" s="1"/>
  <c r="C431" i="1"/>
  <c r="D431" i="1" s="1"/>
  <c r="E431" i="1" s="1"/>
  <c r="C124" i="1"/>
  <c r="D124" i="1" s="1"/>
  <c r="E124" i="1" s="1"/>
  <c r="C709" i="1"/>
  <c r="D709" i="1" s="1"/>
  <c r="E709" i="1" s="1"/>
  <c r="C854" i="1"/>
  <c r="D854" i="1" s="1"/>
  <c r="E854" i="1" s="1"/>
  <c r="C559" i="1"/>
  <c r="D559" i="1" s="1"/>
  <c r="E559" i="1" s="1"/>
  <c r="C1011" i="1"/>
  <c r="D1011" i="1" s="1"/>
  <c r="E1011" i="1" s="1"/>
  <c r="C963" i="1"/>
  <c r="D963" i="1" s="1"/>
  <c r="E963" i="1" s="1"/>
  <c r="C937" i="1"/>
  <c r="D937" i="1" s="1"/>
  <c r="E937" i="1" s="1"/>
  <c r="C883" i="1"/>
  <c r="D883" i="1" s="1"/>
  <c r="E883" i="1" s="1"/>
  <c r="C853" i="1"/>
  <c r="D853" i="1" s="1"/>
  <c r="E853" i="1" s="1"/>
  <c r="C787" i="1"/>
  <c r="D787" i="1" s="1"/>
  <c r="E787" i="1" s="1"/>
  <c r="C742" i="1"/>
  <c r="D742" i="1" s="1"/>
  <c r="E742" i="1" s="1"/>
  <c r="C699" i="1"/>
  <c r="D699" i="1" s="1"/>
  <c r="E699" i="1" s="1"/>
  <c r="C669" i="1"/>
  <c r="D669" i="1" s="1"/>
  <c r="E669" i="1" s="1"/>
  <c r="C547" i="1"/>
  <c r="D547" i="1" s="1"/>
  <c r="E547" i="1" s="1"/>
  <c r="C430" i="1"/>
  <c r="D430" i="1" s="1"/>
  <c r="E430" i="1" s="1"/>
  <c r="C272" i="1"/>
  <c r="D272" i="1" s="1"/>
  <c r="E272" i="1" s="1"/>
  <c r="C914" i="1"/>
  <c r="D914" i="1" s="1"/>
  <c r="E914" i="1" s="1"/>
  <c r="C826" i="1"/>
  <c r="D826" i="1" s="1"/>
  <c r="E826" i="1" s="1"/>
  <c r="C670" i="1"/>
  <c r="D670" i="1" s="1"/>
  <c r="E670" i="1" s="1"/>
  <c r="C990" i="1"/>
  <c r="D990" i="1" s="1"/>
  <c r="E990" i="1" s="1"/>
  <c r="C882" i="1"/>
  <c r="D882" i="1" s="1"/>
  <c r="E882" i="1" s="1"/>
  <c r="C825" i="1"/>
  <c r="D825" i="1" s="1"/>
  <c r="E825" i="1" s="1"/>
  <c r="C741" i="1"/>
  <c r="D741" i="1" s="1"/>
  <c r="E741" i="1" s="1"/>
  <c r="C659" i="1"/>
  <c r="D659" i="1" s="1"/>
  <c r="E659" i="1" s="1"/>
  <c r="C544" i="1"/>
  <c r="D544" i="1" s="1"/>
  <c r="E544" i="1" s="1"/>
  <c r="C422" i="1"/>
  <c r="D422" i="1" s="1"/>
  <c r="E422" i="1" s="1"/>
  <c r="C271" i="1"/>
  <c r="D271" i="1" s="1"/>
  <c r="E271" i="1" s="1"/>
  <c r="C109" i="1"/>
  <c r="D109" i="1" s="1"/>
  <c r="E109" i="1" s="1"/>
  <c r="C671" i="1"/>
  <c r="D671" i="1" s="1"/>
  <c r="E671" i="1" s="1"/>
  <c r="C938" i="1"/>
  <c r="D938" i="1" s="1"/>
  <c r="E938" i="1" s="1"/>
  <c r="C746" i="1"/>
  <c r="D746" i="1" s="1"/>
  <c r="E746" i="1" s="1"/>
  <c r="C301" i="1"/>
  <c r="D301" i="1" s="1"/>
  <c r="E301" i="1" s="1"/>
  <c r="C962" i="1"/>
  <c r="D962" i="1" s="1"/>
  <c r="E962" i="1" s="1"/>
  <c r="C911" i="1"/>
  <c r="D911" i="1" s="1"/>
  <c r="E911" i="1" s="1"/>
  <c r="C852" i="1"/>
  <c r="D852" i="1" s="1"/>
  <c r="E852" i="1" s="1"/>
  <c r="C786" i="1"/>
  <c r="D786" i="1" s="1"/>
  <c r="E786" i="1" s="1"/>
  <c r="C989" i="1"/>
  <c r="D989" i="1" s="1"/>
  <c r="E989" i="1" s="1"/>
  <c r="C957" i="1"/>
  <c r="D957" i="1" s="1"/>
  <c r="E957" i="1" s="1"/>
  <c r="C936" i="1"/>
  <c r="D936" i="1" s="1"/>
  <c r="E936" i="1" s="1"/>
  <c r="C910" i="1"/>
  <c r="D910" i="1" s="1"/>
  <c r="E910" i="1" s="1"/>
  <c r="C851" i="1"/>
  <c r="D851" i="1" s="1"/>
  <c r="E851" i="1" s="1"/>
  <c r="C824" i="1"/>
  <c r="D824" i="1" s="1"/>
  <c r="E824" i="1" s="1"/>
  <c r="C740" i="1"/>
  <c r="D740" i="1" s="1"/>
  <c r="E740" i="1" s="1"/>
  <c r="C698" i="1"/>
  <c r="D698" i="1" s="1"/>
  <c r="E698" i="1" s="1"/>
  <c r="C658" i="1"/>
  <c r="D658" i="1" s="1"/>
  <c r="E658" i="1" s="1"/>
  <c r="C532" i="1"/>
  <c r="D532" i="1" s="1"/>
  <c r="E532" i="1" s="1"/>
  <c r="C256" i="1"/>
  <c r="D256" i="1" s="1"/>
  <c r="E256" i="1" s="1"/>
  <c r="C94" i="1"/>
  <c r="D94" i="1" s="1"/>
  <c r="E94" i="1" s="1"/>
  <c r="C697" i="1"/>
  <c r="D697" i="1" s="1"/>
  <c r="E697" i="1" s="1"/>
  <c r="C199" i="1"/>
  <c r="D199" i="1" s="1"/>
  <c r="E199" i="1" s="1"/>
  <c r="C909" i="1"/>
  <c r="D909" i="1" s="1"/>
  <c r="E909" i="1" s="1"/>
  <c r="C655" i="1"/>
  <c r="D655" i="1" s="1"/>
  <c r="E655" i="1" s="1"/>
  <c r="C843" i="1"/>
  <c r="D843" i="1" s="1"/>
  <c r="E843" i="1" s="1"/>
  <c r="C696" i="1"/>
  <c r="D696" i="1" s="1"/>
  <c r="E696" i="1" s="1"/>
  <c r="C644" i="1"/>
  <c r="D644" i="1" s="1"/>
  <c r="E644" i="1" s="1"/>
  <c r="C517" i="1"/>
  <c r="D517" i="1" s="1"/>
  <c r="E517" i="1" s="1"/>
  <c r="C392" i="1"/>
  <c r="D392" i="1" s="1"/>
  <c r="E392" i="1" s="1"/>
  <c r="C240" i="1"/>
  <c r="D240" i="1" s="1"/>
  <c r="E240" i="1" s="1"/>
  <c r="C5" i="1"/>
  <c r="D5" i="1" s="1"/>
  <c r="E5" i="1" s="1"/>
  <c r="C20" i="1"/>
  <c r="D20" i="1" s="1"/>
  <c r="E20" i="1" s="1"/>
  <c r="C140" i="1"/>
  <c r="D140" i="1" s="1"/>
  <c r="E140" i="1" s="1"/>
  <c r="C257" i="1"/>
  <c r="D257" i="1" s="1"/>
  <c r="E257" i="1" s="1"/>
  <c r="C377" i="1"/>
  <c r="D377" i="1" s="1"/>
  <c r="E377" i="1" s="1"/>
  <c r="C459" i="1"/>
  <c r="D459" i="1" s="1"/>
  <c r="E459" i="1" s="1"/>
  <c r="C674" i="1"/>
  <c r="D674" i="1" s="1"/>
  <c r="E674" i="1" s="1"/>
  <c r="C700" i="1"/>
  <c r="D700" i="1" s="1"/>
  <c r="E700" i="1" s="1"/>
  <c r="C730" i="1"/>
  <c r="D730" i="1" s="1"/>
  <c r="E730" i="1" s="1"/>
  <c r="C758" i="1"/>
  <c r="D758" i="1" s="1"/>
  <c r="E758" i="1" s="1"/>
  <c r="C789" i="1"/>
  <c r="D789" i="1" s="1"/>
  <c r="E789" i="1" s="1"/>
  <c r="C50" i="1"/>
  <c r="D50" i="1" s="1"/>
  <c r="E50" i="1" s="1"/>
  <c r="C168" i="1"/>
  <c r="D168" i="1" s="1"/>
  <c r="E168" i="1" s="1"/>
  <c r="C286" i="1"/>
  <c r="D286" i="1" s="1"/>
  <c r="E286" i="1" s="1"/>
  <c r="C473" i="1"/>
  <c r="D473" i="1" s="1"/>
  <c r="E473" i="1" s="1"/>
  <c r="C646" i="1"/>
  <c r="D646" i="1" s="1"/>
  <c r="E646" i="1" s="1"/>
  <c r="C682" i="1"/>
  <c r="D682" i="1" s="1"/>
  <c r="E682" i="1" s="1"/>
  <c r="C710" i="1"/>
  <c r="D710" i="1" s="1"/>
  <c r="E710" i="1" s="1"/>
  <c r="C739" i="1"/>
  <c r="D739" i="1" s="1"/>
  <c r="E739" i="1" s="1"/>
  <c r="C760" i="1"/>
  <c r="D760" i="1" s="1"/>
  <c r="E760" i="1" s="1"/>
  <c r="C198" i="1"/>
  <c r="D198" i="1" s="1"/>
  <c r="E198" i="1" s="1"/>
  <c r="C330" i="1"/>
  <c r="D330" i="1" s="1"/>
  <c r="E330" i="1" s="1"/>
  <c r="C500" i="1"/>
  <c r="D500" i="1" s="1"/>
  <c r="E500" i="1" s="1"/>
  <c r="C587" i="1"/>
  <c r="D587" i="1" s="1"/>
  <c r="E587" i="1" s="1"/>
  <c r="C660" i="1"/>
  <c r="D660" i="1" s="1"/>
  <c r="E660" i="1" s="1"/>
  <c r="C686" i="1"/>
  <c r="D686" i="1" s="1"/>
  <c r="E686" i="1" s="1"/>
  <c r="C714" i="1"/>
  <c r="D714" i="1" s="1"/>
  <c r="E714" i="1" s="1"/>
  <c r="C772" i="1"/>
  <c r="D772" i="1" s="1"/>
  <c r="E772" i="1" s="1"/>
  <c r="C80" i="1"/>
  <c r="D80" i="1" s="1"/>
  <c r="E80" i="1" s="1"/>
  <c r="C331" i="1"/>
  <c r="D331" i="1" s="1"/>
  <c r="E331" i="1" s="1"/>
  <c r="C419" i="1"/>
  <c r="D419" i="1" s="1"/>
  <c r="E419" i="1" s="1"/>
  <c r="C501" i="1"/>
  <c r="D501" i="1" s="1"/>
  <c r="E501" i="1" s="1"/>
  <c r="C588" i="1"/>
  <c r="D588" i="1" s="1"/>
  <c r="E588" i="1" s="1"/>
  <c r="C661" i="1"/>
  <c r="D661" i="1" s="1"/>
  <c r="E661" i="1" s="1"/>
  <c r="C715" i="1"/>
  <c r="D715" i="1" s="1"/>
  <c r="E715" i="1" s="1"/>
  <c r="C744" i="1"/>
  <c r="D744" i="1" s="1"/>
  <c r="E744" i="1" s="1"/>
  <c r="C773" i="1"/>
  <c r="D773" i="1" s="1"/>
  <c r="E773" i="1" s="1"/>
  <c r="C804" i="1"/>
  <c r="D804" i="1" s="1"/>
  <c r="E804" i="1" s="1"/>
  <c r="C93" i="1"/>
  <c r="D93" i="1" s="1"/>
  <c r="E93" i="1" s="1"/>
  <c r="C211" i="1"/>
  <c r="D211" i="1" s="1"/>
  <c r="E211" i="1" s="1"/>
  <c r="C346" i="1"/>
  <c r="D346" i="1" s="1"/>
  <c r="E346" i="1" s="1"/>
  <c r="C420" i="1"/>
  <c r="D420" i="1" s="1"/>
  <c r="E420" i="1" s="1"/>
  <c r="C502" i="1"/>
  <c r="D502" i="1" s="1"/>
  <c r="E502" i="1" s="1"/>
  <c r="C601" i="1"/>
  <c r="D601" i="1" s="1"/>
  <c r="E601" i="1" s="1"/>
  <c r="C690" i="1"/>
  <c r="D690" i="1" s="1"/>
  <c r="E690" i="1" s="1"/>
  <c r="C718" i="1"/>
  <c r="D718" i="1" s="1"/>
  <c r="E718" i="1" s="1"/>
  <c r="C745" i="1"/>
  <c r="D745" i="1" s="1"/>
  <c r="E745" i="1" s="1"/>
  <c r="C774" i="1"/>
  <c r="D774" i="1" s="1"/>
  <c r="E774" i="1" s="1"/>
  <c r="C809" i="1"/>
  <c r="D809" i="1" s="1"/>
  <c r="E809" i="1" s="1"/>
  <c r="C935" i="1"/>
  <c r="D935" i="1" s="1"/>
  <c r="E935" i="1" s="1"/>
  <c r="C782" i="1"/>
  <c r="D782" i="1" s="1"/>
  <c r="E782" i="1" s="1"/>
  <c r="C241" i="1"/>
  <c r="D241" i="1" s="1"/>
  <c r="E241" i="1" s="1"/>
  <c r="C982" i="1"/>
  <c r="D982" i="1" s="1"/>
  <c r="E982" i="1" s="1"/>
  <c r="C908" i="1"/>
  <c r="D908" i="1" s="1"/>
  <c r="E908" i="1" s="1"/>
  <c r="C1022" i="1"/>
  <c r="D1022" i="1" s="1"/>
  <c r="E1022" i="1" s="1"/>
  <c r="C981" i="1"/>
  <c r="D981" i="1" s="1"/>
  <c r="E981" i="1" s="1"/>
  <c r="C933" i="1"/>
  <c r="D933" i="1" s="1"/>
  <c r="E933" i="1" s="1"/>
  <c r="C907" i="1"/>
  <c r="D907" i="1" s="1"/>
  <c r="E907" i="1" s="1"/>
  <c r="C841" i="1"/>
  <c r="D841" i="1" s="1"/>
  <c r="E841" i="1" s="1"/>
  <c r="C813" i="1"/>
  <c r="D813" i="1" s="1"/>
  <c r="E813" i="1" s="1"/>
  <c r="C771" i="1"/>
  <c r="D771" i="1" s="1"/>
  <c r="E771" i="1" s="1"/>
  <c r="C729" i="1"/>
  <c r="D729" i="1" s="1"/>
  <c r="E729" i="1" s="1"/>
  <c r="C633" i="1"/>
  <c r="D633" i="1" s="1"/>
  <c r="E633" i="1" s="1"/>
  <c r="C515" i="1"/>
  <c r="D515" i="1" s="1"/>
  <c r="E515" i="1" s="1"/>
  <c r="C390" i="1"/>
  <c r="D390" i="1" s="1"/>
  <c r="E390" i="1" s="1"/>
  <c r="C225" i="1"/>
  <c r="D225" i="1" s="1"/>
  <c r="E225" i="1" s="1"/>
  <c r="C51" i="1"/>
  <c r="D51" i="1" s="1"/>
  <c r="E51" i="1" s="1"/>
  <c r="C823" i="1"/>
  <c r="D823" i="1" s="1"/>
  <c r="E823" i="1" s="1"/>
  <c r="C405" i="1"/>
  <c r="D405" i="1" s="1"/>
  <c r="E405" i="1" s="1"/>
  <c r="C631" i="1"/>
  <c r="D631" i="1" s="1"/>
  <c r="E631" i="1" s="1"/>
  <c r="C407" i="1"/>
  <c r="D407" i="1" s="1"/>
  <c r="E407" i="1" s="1"/>
  <c r="C953" i="1"/>
  <c r="D953" i="1" s="1"/>
  <c r="E953" i="1" s="1"/>
  <c r="C1003" i="1"/>
  <c r="D1003" i="1" s="1"/>
  <c r="E1003" i="1" s="1"/>
  <c r="C926" i="1"/>
  <c r="D926" i="1" s="1"/>
  <c r="E926" i="1" s="1"/>
  <c r="C906" i="1"/>
  <c r="D906" i="1" s="1"/>
  <c r="E906" i="1" s="1"/>
  <c r="C878" i="1"/>
  <c r="D878" i="1" s="1"/>
  <c r="E878" i="1" s="1"/>
  <c r="C840" i="1"/>
  <c r="D840" i="1" s="1"/>
  <c r="E840" i="1" s="1"/>
  <c r="C812" i="1"/>
  <c r="D812" i="1" s="1"/>
  <c r="E812" i="1" s="1"/>
  <c r="C770" i="1"/>
  <c r="D770" i="1" s="1"/>
  <c r="E770" i="1" s="1"/>
  <c r="C728" i="1"/>
  <c r="D728" i="1" s="1"/>
  <c r="E728" i="1" s="1"/>
  <c r="C685" i="1"/>
  <c r="D685" i="1" s="1"/>
  <c r="E685" i="1" s="1"/>
  <c r="C630" i="1"/>
  <c r="D630" i="1" s="1"/>
  <c r="E630" i="1" s="1"/>
  <c r="C514" i="1"/>
  <c r="D514" i="1" s="1"/>
  <c r="E514" i="1" s="1"/>
  <c r="C379" i="1"/>
  <c r="D379" i="1" s="1"/>
  <c r="E379" i="1" s="1"/>
  <c r="C224" i="1"/>
  <c r="D224" i="1" s="1"/>
  <c r="E224" i="1" s="1"/>
  <c r="C35" i="1"/>
  <c r="D35" i="1" s="1"/>
  <c r="E35" i="1" s="1"/>
  <c r="C954" i="1"/>
  <c r="D954" i="1" s="1"/>
  <c r="E954" i="1" s="1"/>
  <c r="C850" i="1"/>
  <c r="D850" i="1" s="1"/>
  <c r="E850" i="1" s="1"/>
  <c r="C733" i="1"/>
  <c r="D733" i="1" s="1"/>
  <c r="E733" i="1" s="1"/>
  <c r="C65" i="1"/>
  <c r="D65" i="1" s="1"/>
  <c r="E65" i="1" s="1"/>
  <c r="C663" i="1"/>
  <c r="D663" i="1" s="1"/>
  <c r="E663" i="1" s="1"/>
  <c r="C391" i="1"/>
  <c r="D391" i="1" s="1"/>
  <c r="E391" i="1" s="1"/>
  <c r="C1005" i="1"/>
  <c r="D1005" i="1" s="1"/>
  <c r="E1005" i="1" s="1"/>
  <c r="C934" i="1"/>
  <c r="D934" i="1" s="1"/>
  <c r="E934" i="1" s="1"/>
  <c r="C905" i="1"/>
  <c r="D905" i="1" s="1"/>
  <c r="E905" i="1" s="1"/>
  <c r="C762" i="1"/>
  <c r="D762" i="1" s="1"/>
  <c r="E762" i="1" s="1"/>
  <c r="C684" i="1"/>
  <c r="D684" i="1" s="1"/>
  <c r="E684" i="1" s="1"/>
  <c r="C618" i="1"/>
  <c r="D618" i="1" s="1"/>
  <c r="E618" i="1" s="1"/>
  <c r="C376" i="1"/>
  <c r="D376" i="1" s="1"/>
  <c r="E376" i="1" s="1"/>
  <c r="C34" i="1"/>
  <c r="D34" i="1" s="1"/>
  <c r="E34" i="1" s="1"/>
  <c r="C880" i="1"/>
  <c r="D880" i="1" s="1"/>
  <c r="E880" i="1" s="1"/>
  <c r="C530" i="1"/>
  <c r="D530" i="1" s="1"/>
  <c r="E530" i="1" s="1"/>
  <c r="C743" i="1"/>
  <c r="D743" i="1" s="1"/>
  <c r="E743" i="1" s="1"/>
  <c r="C814" i="1"/>
  <c r="D814" i="1" s="1"/>
  <c r="E814" i="1" s="1"/>
  <c r="C1004" i="1"/>
  <c r="D1004" i="1" s="1"/>
  <c r="E1004" i="1" s="1"/>
  <c r="C1021" i="1"/>
  <c r="D1021" i="1" s="1"/>
  <c r="E1021" i="1" s="1"/>
  <c r="C980" i="1"/>
  <c r="D980" i="1" s="1"/>
  <c r="E980" i="1" s="1"/>
  <c r="C952" i="1"/>
  <c r="D952" i="1" s="1"/>
  <c r="E952" i="1" s="1"/>
  <c r="C1002" i="1"/>
  <c r="D1002" i="1" s="1"/>
  <c r="E1002" i="1" s="1"/>
  <c r="C979" i="1"/>
  <c r="D979" i="1" s="1"/>
  <c r="E979" i="1" s="1"/>
  <c r="C925" i="1"/>
  <c r="D925" i="1" s="1"/>
  <c r="E925" i="1" s="1"/>
  <c r="C877" i="1"/>
  <c r="D877" i="1" s="1"/>
  <c r="E877" i="1" s="1"/>
  <c r="C811" i="1"/>
  <c r="D811" i="1" s="1"/>
  <c r="E811" i="1" s="1"/>
  <c r="C1020" i="1"/>
  <c r="D1020" i="1" s="1"/>
  <c r="E1020" i="1" s="1"/>
  <c r="C978" i="1"/>
  <c r="D978" i="1" s="1"/>
  <c r="E978" i="1" s="1"/>
  <c r="C950" i="1"/>
  <c r="D950" i="1" s="1"/>
  <c r="E950" i="1" s="1"/>
  <c r="C924" i="1"/>
  <c r="D924" i="1" s="1"/>
  <c r="E924" i="1" s="1"/>
  <c r="C900" i="1"/>
  <c r="D900" i="1" s="1"/>
  <c r="E900" i="1" s="1"/>
  <c r="C870" i="1"/>
  <c r="D870" i="1" s="1"/>
  <c r="E870" i="1" s="1"/>
  <c r="C726" i="1"/>
  <c r="D726" i="1" s="1"/>
  <c r="E726" i="1" s="1"/>
  <c r="C683" i="1"/>
  <c r="D683" i="1" s="1"/>
  <c r="E683" i="1" s="1"/>
  <c r="C616" i="1"/>
  <c r="D616" i="1" s="1"/>
  <c r="E616" i="1" s="1"/>
  <c r="C486" i="1"/>
  <c r="D486" i="1" s="1"/>
  <c r="E486" i="1" s="1"/>
  <c r="C364" i="1"/>
  <c r="D364" i="1" s="1"/>
  <c r="E364" i="1" s="1"/>
  <c r="C184" i="1"/>
  <c r="D184" i="1" s="1"/>
  <c r="E184" i="1" s="1"/>
  <c r="C19" i="1"/>
  <c r="D19" i="1" s="1"/>
  <c r="E19" i="1" s="1"/>
  <c r="C977" i="1"/>
  <c r="D977" i="1" s="1"/>
  <c r="E977" i="1" s="1"/>
  <c r="C961" i="1"/>
  <c r="D961" i="1" s="1"/>
  <c r="E961" i="1" s="1"/>
  <c r="C945" i="1"/>
  <c r="D945" i="1" s="1"/>
  <c r="E945" i="1" s="1"/>
  <c r="C929" i="1"/>
  <c r="D929" i="1" s="1"/>
  <c r="E929" i="1" s="1"/>
  <c r="C913" i="1"/>
  <c r="D913" i="1" s="1"/>
  <c r="E913" i="1" s="1"/>
  <c r="C897" i="1"/>
  <c r="D897" i="1" s="1"/>
  <c r="E897" i="1" s="1"/>
  <c r="C865" i="1"/>
  <c r="D865" i="1" s="1"/>
  <c r="E865" i="1" s="1"/>
  <c r="C849" i="1"/>
  <c r="D849" i="1" s="1"/>
  <c r="E849" i="1" s="1"/>
  <c r="C833" i="1"/>
  <c r="D833" i="1" s="1"/>
  <c r="E833" i="1" s="1"/>
  <c r="C817" i="1"/>
  <c r="D817" i="1" s="1"/>
  <c r="E817" i="1" s="1"/>
  <c r="C801" i="1"/>
  <c r="D801" i="1" s="1"/>
  <c r="E801" i="1" s="1"/>
  <c r="C785" i="1"/>
  <c r="D785" i="1" s="1"/>
  <c r="E785" i="1" s="1"/>
  <c r="C769" i="1"/>
  <c r="D769" i="1" s="1"/>
  <c r="E769" i="1" s="1"/>
  <c r="C753" i="1"/>
  <c r="D753" i="1" s="1"/>
  <c r="E753" i="1" s="1"/>
  <c r="C737" i="1"/>
  <c r="D737" i="1" s="1"/>
  <c r="E737" i="1" s="1"/>
  <c r="C721" i="1"/>
  <c r="D721" i="1" s="1"/>
  <c r="E721" i="1" s="1"/>
  <c r="C705" i="1"/>
  <c r="D705" i="1" s="1"/>
  <c r="E705" i="1" s="1"/>
  <c r="C689" i="1"/>
  <c r="D689" i="1" s="1"/>
  <c r="E689" i="1" s="1"/>
  <c r="C673" i="1"/>
  <c r="D673" i="1" s="1"/>
  <c r="E673" i="1" s="1"/>
  <c r="C657" i="1"/>
  <c r="D657" i="1" s="1"/>
  <c r="E657" i="1" s="1"/>
  <c r="C641" i="1"/>
  <c r="D641" i="1" s="1"/>
  <c r="E641" i="1" s="1"/>
  <c r="C625" i="1"/>
  <c r="D625" i="1" s="1"/>
  <c r="E625" i="1" s="1"/>
  <c r="C609" i="1"/>
  <c r="D609" i="1" s="1"/>
  <c r="E609" i="1" s="1"/>
  <c r="C593" i="1"/>
  <c r="D593" i="1" s="1"/>
  <c r="E593" i="1" s="1"/>
  <c r="C577" i="1"/>
  <c r="D577" i="1" s="1"/>
  <c r="E577" i="1" s="1"/>
  <c r="C561" i="1"/>
  <c r="D561" i="1" s="1"/>
  <c r="E561" i="1" s="1"/>
  <c r="C545" i="1"/>
  <c r="D545" i="1" s="1"/>
  <c r="E545" i="1" s="1"/>
  <c r="C529" i="1"/>
  <c r="D529" i="1" s="1"/>
  <c r="E529" i="1" s="1"/>
  <c r="C513" i="1"/>
  <c r="D513" i="1" s="1"/>
  <c r="E513" i="1" s="1"/>
  <c r="C497" i="1"/>
  <c r="D497" i="1" s="1"/>
  <c r="E497" i="1" s="1"/>
  <c r="C481" i="1"/>
  <c r="D481" i="1" s="1"/>
  <c r="E481" i="1" s="1"/>
  <c r="C465" i="1"/>
  <c r="D465" i="1" s="1"/>
  <c r="E465" i="1" s="1"/>
  <c r="C449" i="1"/>
  <c r="D449" i="1" s="1"/>
  <c r="E449" i="1" s="1"/>
  <c r="C433" i="1"/>
  <c r="D433" i="1" s="1"/>
  <c r="E433" i="1" s="1"/>
  <c r="C417" i="1"/>
  <c r="D417" i="1" s="1"/>
  <c r="E417" i="1" s="1"/>
  <c r="C868" i="1"/>
  <c r="D868" i="1" s="1"/>
  <c r="E868" i="1" s="1"/>
  <c r="C798" i="1"/>
  <c r="D798" i="1" s="1"/>
  <c r="E798" i="1" s="1"/>
  <c r="C724" i="1"/>
  <c r="D724" i="1" s="1"/>
  <c r="E724" i="1" s="1"/>
  <c r="C472" i="1"/>
  <c r="D472" i="1" s="1"/>
  <c r="E472" i="1" s="1"/>
  <c r="C361" i="1"/>
  <c r="D361" i="1" s="1"/>
  <c r="E361" i="1" s="1"/>
  <c r="C169" i="1"/>
  <c r="D169" i="1" s="1"/>
  <c r="E169" i="1" s="1"/>
  <c r="C1024" i="1"/>
  <c r="D1024" i="1" s="1"/>
  <c r="E1024" i="1" s="1"/>
  <c r="C976" i="1"/>
  <c r="D976" i="1" s="1"/>
  <c r="E976" i="1" s="1"/>
  <c r="C960" i="1"/>
  <c r="D960" i="1" s="1"/>
  <c r="E960" i="1" s="1"/>
  <c r="C944" i="1"/>
  <c r="D944" i="1" s="1"/>
  <c r="E944" i="1" s="1"/>
  <c r="C928" i="1"/>
  <c r="D928" i="1" s="1"/>
  <c r="E928" i="1" s="1"/>
  <c r="C864" i="1"/>
  <c r="D864" i="1" s="1"/>
  <c r="E864" i="1" s="1"/>
  <c r="C848" i="1"/>
  <c r="D848" i="1" s="1"/>
  <c r="E848" i="1" s="1"/>
  <c r="C832" i="1"/>
  <c r="D832" i="1" s="1"/>
  <c r="E832" i="1" s="1"/>
  <c r="C816" i="1"/>
  <c r="D816" i="1" s="1"/>
  <c r="E816" i="1" s="1"/>
  <c r="C800" i="1"/>
  <c r="D800" i="1" s="1"/>
  <c r="E800" i="1" s="1"/>
  <c r="C784" i="1"/>
  <c r="D784" i="1" s="1"/>
  <c r="E784" i="1" s="1"/>
  <c r="C768" i="1"/>
  <c r="D768" i="1" s="1"/>
  <c r="E768" i="1" s="1"/>
  <c r="C752" i="1"/>
  <c r="D752" i="1" s="1"/>
  <c r="E752" i="1" s="1"/>
  <c r="C736" i="1"/>
  <c r="D736" i="1" s="1"/>
  <c r="E736" i="1" s="1"/>
  <c r="C720" i="1"/>
  <c r="D720" i="1" s="1"/>
  <c r="E720" i="1" s="1"/>
  <c r="C704" i="1"/>
  <c r="D704" i="1" s="1"/>
  <c r="E704" i="1" s="1"/>
  <c r="C688" i="1"/>
  <c r="D688" i="1" s="1"/>
  <c r="E688" i="1" s="1"/>
  <c r="C656" i="1"/>
  <c r="D656" i="1" s="1"/>
  <c r="E656" i="1" s="1"/>
  <c r="C640" i="1"/>
  <c r="D640" i="1" s="1"/>
  <c r="E640" i="1" s="1"/>
  <c r="C624" i="1"/>
  <c r="D624" i="1" s="1"/>
  <c r="E624" i="1" s="1"/>
  <c r="C608" i="1"/>
  <c r="D608" i="1" s="1"/>
  <c r="E608" i="1" s="1"/>
  <c r="C592" i="1"/>
  <c r="D592" i="1" s="1"/>
  <c r="E592" i="1" s="1"/>
  <c r="C576" i="1"/>
  <c r="D576" i="1" s="1"/>
  <c r="E576" i="1" s="1"/>
  <c r="C560" i="1"/>
  <c r="D560" i="1" s="1"/>
  <c r="E560" i="1" s="1"/>
  <c r="C528" i="1"/>
  <c r="D528" i="1" s="1"/>
  <c r="E528" i="1" s="1"/>
  <c r="C512" i="1"/>
  <c r="D512" i="1" s="1"/>
  <c r="E512" i="1" s="1"/>
  <c r="C496" i="1"/>
  <c r="D496" i="1" s="1"/>
  <c r="E496" i="1" s="1"/>
  <c r="C480" i="1"/>
  <c r="D480" i="1" s="1"/>
  <c r="E480" i="1" s="1"/>
  <c r="C464" i="1"/>
  <c r="D464" i="1" s="1"/>
  <c r="E464" i="1" s="1"/>
  <c r="C448" i="1"/>
  <c r="D448" i="1" s="1"/>
  <c r="E448" i="1" s="1"/>
  <c r="C895" i="1"/>
  <c r="D895" i="1" s="1"/>
  <c r="E895" i="1" s="1"/>
  <c r="C757" i="1"/>
  <c r="D757" i="1" s="1"/>
  <c r="E757" i="1" s="1"/>
  <c r="C604" i="1"/>
  <c r="D604" i="1" s="1"/>
  <c r="E604" i="1" s="1"/>
  <c r="C995" i="1"/>
  <c r="D995" i="1" s="1"/>
  <c r="E995" i="1" s="1"/>
  <c r="C947" i="1"/>
  <c r="D947" i="1" s="1"/>
  <c r="E947" i="1" s="1"/>
  <c r="C894" i="1"/>
  <c r="D894" i="1" s="1"/>
  <c r="E894" i="1" s="1"/>
  <c r="C836" i="1"/>
  <c r="D836" i="1" s="1"/>
  <c r="E836" i="1" s="1"/>
  <c r="C756" i="1"/>
  <c r="D756" i="1" s="1"/>
  <c r="E756" i="1" s="1"/>
  <c r="C460" i="1"/>
  <c r="D460" i="1" s="1"/>
  <c r="E460" i="1" s="1"/>
  <c r="C155" i="1"/>
  <c r="D155" i="1" s="1"/>
  <c r="E155" i="1" s="1"/>
  <c r="C687" i="1"/>
  <c r="D687" i="1" s="1"/>
  <c r="E687" i="1" s="1"/>
  <c r="C79" i="1"/>
  <c r="D79" i="1" s="1"/>
  <c r="E79" i="1" s="1"/>
  <c r="C994" i="1"/>
  <c r="D994" i="1" s="1"/>
  <c r="E994" i="1" s="1"/>
  <c r="C893" i="1"/>
  <c r="D893" i="1" s="1"/>
  <c r="E893" i="1" s="1"/>
  <c r="C866" i="1"/>
  <c r="D866" i="1" s="1"/>
  <c r="E866" i="1" s="1"/>
  <c r="C796" i="1"/>
  <c r="D796" i="1" s="1"/>
  <c r="E796" i="1" s="1"/>
  <c r="C755" i="1"/>
  <c r="D755" i="1" s="1"/>
  <c r="E755" i="1" s="1"/>
  <c r="C712" i="1"/>
  <c r="D712" i="1" s="1"/>
  <c r="E712" i="1" s="1"/>
  <c r="C458" i="1"/>
  <c r="D458" i="1" s="1"/>
  <c r="E458" i="1" s="1"/>
  <c r="C347" i="1"/>
  <c r="D347" i="1" s="1"/>
  <c r="E347" i="1" s="1"/>
  <c r="C154" i="1"/>
  <c r="D154" i="1" s="1"/>
  <c r="E154" i="1" s="1"/>
  <c r="C837" i="1"/>
  <c r="D837" i="1" s="1"/>
  <c r="E837" i="1" s="1"/>
  <c r="C677" i="1"/>
  <c r="D677" i="1" s="1"/>
  <c r="E677" i="1" s="1"/>
  <c r="C1018" i="1"/>
  <c r="D1018" i="1" s="1"/>
  <c r="E1018" i="1" s="1"/>
  <c r="C968" i="1"/>
  <c r="D968" i="1" s="1"/>
  <c r="E968" i="1" s="1"/>
  <c r="C921" i="1"/>
  <c r="D921" i="1" s="1"/>
  <c r="E921" i="1" s="1"/>
  <c r="C867" i="1"/>
  <c r="D867" i="1" s="1"/>
  <c r="E867" i="1" s="1"/>
  <c r="C797" i="1"/>
  <c r="D797" i="1" s="1"/>
  <c r="E797" i="1" s="1"/>
  <c r="C713" i="1"/>
  <c r="D713" i="1" s="1"/>
  <c r="E713" i="1" s="1"/>
  <c r="C602" i="1"/>
  <c r="D602" i="1" s="1"/>
  <c r="E602" i="1" s="1"/>
  <c r="C349" i="1"/>
  <c r="D349" i="1" s="1"/>
  <c r="E349" i="1" s="1"/>
  <c r="C799" i="1"/>
  <c r="D799" i="1" s="1"/>
  <c r="E799" i="1" s="1"/>
  <c r="C966" i="1"/>
  <c r="D966" i="1" s="1"/>
  <c r="E966" i="1" s="1"/>
  <c r="C940" i="1"/>
  <c r="D940" i="1" s="1"/>
  <c r="E940" i="1" s="1"/>
  <c r="C920" i="1"/>
  <c r="D920" i="1" s="1"/>
  <c r="E920" i="1" s="1"/>
  <c r="C892" i="1"/>
  <c r="D892" i="1" s="1"/>
  <c r="E892" i="1" s="1"/>
  <c r="C856" i="1"/>
  <c r="D856" i="1" s="1"/>
  <c r="E856" i="1" s="1"/>
  <c r="C828" i="1"/>
  <c r="D828" i="1" s="1"/>
  <c r="E828" i="1" s="1"/>
  <c r="C795" i="1"/>
  <c r="D795" i="1" s="1"/>
  <c r="E795" i="1" s="1"/>
  <c r="C754" i="1"/>
  <c r="D754" i="1" s="1"/>
  <c r="E754" i="1" s="1"/>
  <c r="C574" i="1"/>
  <c r="D574" i="1" s="1"/>
  <c r="E574" i="1" s="1"/>
  <c r="C446" i="1"/>
  <c r="D446" i="1" s="1"/>
  <c r="E446" i="1" s="1"/>
  <c r="C315" i="1"/>
  <c r="D315" i="1" s="1"/>
  <c r="E315" i="1" s="1"/>
  <c r="C139" i="1"/>
  <c r="D139" i="1" s="1"/>
  <c r="E139" i="1" s="1"/>
  <c r="C401" i="1"/>
  <c r="D401" i="1" s="1"/>
  <c r="E401" i="1" s="1"/>
  <c r="C385" i="1"/>
  <c r="D385" i="1" s="1"/>
  <c r="E385" i="1" s="1"/>
  <c r="C369" i="1"/>
  <c r="D369" i="1" s="1"/>
  <c r="E369" i="1" s="1"/>
  <c r="C353" i="1"/>
  <c r="D353" i="1" s="1"/>
  <c r="E353" i="1" s="1"/>
  <c r="C337" i="1"/>
  <c r="D337" i="1" s="1"/>
  <c r="E337" i="1" s="1"/>
  <c r="C321" i="1"/>
  <c r="D321" i="1" s="1"/>
  <c r="E321" i="1" s="1"/>
  <c r="C305" i="1"/>
  <c r="D305" i="1" s="1"/>
  <c r="E305" i="1" s="1"/>
  <c r="C289" i="1"/>
  <c r="D289" i="1" s="1"/>
  <c r="E289" i="1" s="1"/>
  <c r="C273" i="1"/>
  <c r="D273" i="1" s="1"/>
  <c r="E273" i="1" s="1"/>
  <c r="C209" i="1"/>
  <c r="D209" i="1" s="1"/>
  <c r="E209" i="1" s="1"/>
  <c r="C193" i="1"/>
  <c r="D193" i="1" s="1"/>
  <c r="E193" i="1" s="1"/>
  <c r="C177" i="1"/>
  <c r="D177" i="1" s="1"/>
  <c r="E177" i="1" s="1"/>
  <c r="C161" i="1"/>
  <c r="D161" i="1" s="1"/>
  <c r="E161" i="1" s="1"/>
  <c r="C145" i="1"/>
  <c r="D145" i="1" s="1"/>
  <c r="E145" i="1" s="1"/>
  <c r="C129" i="1"/>
  <c r="D129" i="1" s="1"/>
  <c r="E129" i="1" s="1"/>
  <c r="C113" i="1"/>
  <c r="D113" i="1" s="1"/>
  <c r="E113" i="1" s="1"/>
  <c r="C97" i="1"/>
  <c r="D97" i="1" s="1"/>
  <c r="E97" i="1" s="1"/>
  <c r="C81" i="1"/>
  <c r="D81" i="1" s="1"/>
  <c r="E81" i="1" s="1"/>
  <c r="C49" i="1"/>
  <c r="D49" i="1" s="1"/>
  <c r="E49" i="1" s="1"/>
  <c r="C33" i="1"/>
  <c r="D33" i="1" s="1"/>
  <c r="E33" i="1" s="1"/>
  <c r="C17" i="1"/>
  <c r="D17" i="1" s="1"/>
  <c r="E17" i="1" s="1"/>
  <c r="C432" i="1"/>
  <c r="D432" i="1" s="1"/>
  <c r="E432" i="1" s="1"/>
  <c r="C416" i="1"/>
  <c r="D416" i="1" s="1"/>
  <c r="E416" i="1" s="1"/>
  <c r="C400" i="1"/>
  <c r="D400" i="1" s="1"/>
  <c r="E400" i="1" s="1"/>
  <c r="C384" i="1"/>
  <c r="D384" i="1" s="1"/>
  <c r="E384" i="1" s="1"/>
  <c r="C368" i="1"/>
  <c r="D368" i="1" s="1"/>
  <c r="E368" i="1" s="1"/>
  <c r="C352" i="1"/>
  <c r="D352" i="1" s="1"/>
  <c r="E352" i="1" s="1"/>
  <c r="C336" i="1"/>
  <c r="D336" i="1" s="1"/>
  <c r="E336" i="1" s="1"/>
  <c r="C320" i="1"/>
  <c r="D320" i="1" s="1"/>
  <c r="E320" i="1" s="1"/>
  <c r="C304" i="1"/>
  <c r="D304" i="1" s="1"/>
  <c r="E304" i="1" s="1"/>
  <c r="C288" i="1"/>
  <c r="D288" i="1" s="1"/>
  <c r="E288" i="1" s="1"/>
  <c r="C208" i="1"/>
  <c r="D208" i="1" s="1"/>
  <c r="E208" i="1" s="1"/>
  <c r="C192" i="1"/>
  <c r="D192" i="1" s="1"/>
  <c r="E192" i="1" s="1"/>
  <c r="C176" i="1"/>
  <c r="D176" i="1" s="1"/>
  <c r="E176" i="1" s="1"/>
  <c r="C160" i="1"/>
  <c r="D160" i="1" s="1"/>
  <c r="E160" i="1" s="1"/>
  <c r="C144" i="1"/>
  <c r="D144" i="1" s="1"/>
  <c r="E144" i="1" s="1"/>
  <c r="C128" i="1"/>
  <c r="D128" i="1" s="1"/>
  <c r="E128" i="1" s="1"/>
  <c r="C112" i="1"/>
  <c r="D112" i="1" s="1"/>
  <c r="E112" i="1" s="1"/>
  <c r="C96" i="1"/>
  <c r="D96" i="1" s="1"/>
  <c r="E96" i="1" s="1"/>
  <c r="C48" i="1"/>
  <c r="D48" i="1" s="1"/>
  <c r="E48" i="1" s="1"/>
  <c r="C32" i="1"/>
  <c r="D32" i="1" s="1"/>
  <c r="E32" i="1" s="1"/>
  <c r="C16" i="1"/>
  <c r="D16" i="1" s="1"/>
  <c r="E16" i="1" s="1"/>
  <c r="C643" i="1"/>
  <c r="D643" i="1" s="1"/>
  <c r="E643" i="1" s="1"/>
  <c r="C629" i="1"/>
  <c r="D629" i="1" s="1"/>
  <c r="E629" i="1" s="1"/>
  <c r="C614" i="1"/>
  <c r="D614" i="1" s="1"/>
  <c r="E614" i="1" s="1"/>
  <c r="C600" i="1"/>
  <c r="D600" i="1" s="1"/>
  <c r="E600" i="1" s="1"/>
  <c r="C586" i="1"/>
  <c r="D586" i="1" s="1"/>
  <c r="E586" i="1" s="1"/>
  <c r="C572" i="1"/>
  <c r="D572" i="1" s="1"/>
  <c r="E572" i="1" s="1"/>
  <c r="C558" i="1"/>
  <c r="D558" i="1" s="1"/>
  <c r="E558" i="1" s="1"/>
  <c r="C543" i="1"/>
  <c r="D543" i="1" s="1"/>
  <c r="E543" i="1" s="1"/>
  <c r="C499" i="1"/>
  <c r="D499" i="1" s="1"/>
  <c r="E499" i="1" s="1"/>
  <c r="C485" i="1"/>
  <c r="D485" i="1" s="1"/>
  <c r="E485" i="1" s="1"/>
  <c r="C471" i="1"/>
  <c r="D471" i="1" s="1"/>
  <c r="E471" i="1" s="1"/>
  <c r="C457" i="1"/>
  <c r="D457" i="1" s="1"/>
  <c r="E457" i="1" s="1"/>
  <c r="C444" i="1"/>
  <c r="D444" i="1" s="1"/>
  <c r="E444" i="1" s="1"/>
  <c r="C429" i="1"/>
  <c r="D429" i="1" s="1"/>
  <c r="E429" i="1" s="1"/>
  <c r="C418" i="1"/>
  <c r="D418" i="1" s="1"/>
  <c r="E418" i="1" s="1"/>
  <c r="C404" i="1"/>
  <c r="D404" i="1" s="1"/>
  <c r="E404" i="1" s="1"/>
  <c r="C389" i="1"/>
  <c r="D389" i="1" s="1"/>
  <c r="E389" i="1" s="1"/>
  <c r="C375" i="1"/>
  <c r="D375" i="1" s="1"/>
  <c r="E375" i="1" s="1"/>
  <c r="C360" i="1"/>
  <c r="D360" i="1" s="1"/>
  <c r="E360" i="1" s="1"/>
  <c r="C345" i="1"/>
  <c r="D345" i="1" s="1"/>
  <c r="E345" i="1" s="1"/>
  <c r="C329" i="1"/>
  <c r="D329" i="1" s="1"/>
  <c r="E329" i="1" s="1"/>
  <c r="C300" i="1"/>
  <c r="D300" i="1" s="1"/>
  <c r="E300" i="1" s="1"/>
  <c r="C285" i="1"/>
  <c r="D285" i="1" s="1"/>
  <c r="E285" i="1" s="1"/>
  <c r="C270" i="1"/>
  <c r="D270" i="1" s="1"/>
  <c r="E270" i="1" s="1"/>
  <c r="C255" i="1"/>
  <c r="D255" i="1" s="1"/>
  <c r="E255" i="1" s="1"/>
  <c r="C239" i="1"/>
  <c r="D239" i="1" s="1"/>
  <c r="E239" i="1" s="1"/>
  <c r="C223" i="1"/>
  <c r="D223" i="1" s="1"/>
  <c r="E223" i="1" s="1"/>
  <c r="C210" i="1"/>
  <c r="D210" i="1" s="1"/>
  <c r="E210" i="1" s="1"/>
  <c r="C197" i="1"/>
  <c r="D197" i="1" s="1"/>
  <c r="E197" i="1" s="1"/>
  <c r="C182" i="1"/>
  <c r="D182" i="1" s="1"/>
  <c r="E182" i="1" s="1"/>
  <c r="C167" i="1"/>
  <c r="D167" i="1" s="1"/>
  <c r="E167" i="1" s="1"/>
  <c r="C153" i="1"/>
  <c r="D153" i="1" s="1"/>
  <c r="E153" i="1" s="1"/>
  <c r="C138" i="1"/>
  <c r="D138" i="1" s="1"/>
  <c r="E138" i="1" s="1"/>
  <c r="C123" i="1"/>
  <c r="D123" i="1" s="1"/>
  <c r="E123" i="1" s="1"/>
  <c r="C108" i="1"/>
  <c r="D108" i="1" s="1"/>
  <c r="E108" i="1" s="1"/>
  <c r="C78" i="1"/>
  <c r="D78" i="1" s="1"/>
  <c r="E78" i="1" s="1"/>
  <c r="C63" i="1"/>
  <c r="D63" i="1" s="1"/>
  <c r="E63" i="1" s="1"/>
  <c r="C18" i="1"/>
  <c r="D18" i="1" s="1"/>
  <c r="E18" i="1" s="1"/>
  <c r="C628" i="1"/>
  <c r="D628" i="1" s="1"/>
  <c r="E628" i="1" s="1"/>
  <c r="C599" i="1"/>
  <c r="D599" i="1" s="1"/>
  <c r="E599" i="1" s="1"/>
  <c r="C571" i="1"/>
  <c r="D571" i="1" s="1"/>
  <c r="E571" i="1" s="1"/>
  <c r="C557" i="1"/>
  <c r="D557" i="1" s="1"/>
  <c r="E557" i="1" s="1"/>
  <c r="C542" i="1"/>
  <c r="D542" i="1" s="1"/>
  <c r="E542" i="1" s="1"/>
  <c r="C527" i="1"/>
  <c r="D527" i="1" s="1"/>
  <c r="E527" i="1" s="1"/>
  <c r="C498" i="1"/>
  <c r="D498" i="1" s="1"/>
  <c r="E498" i="1" s="1"/>
  <c r="C470" i="1"/>
  <c r="D470" i="1" s="1"/>
  <c r="E470" i="1" s="1"/>
  <c r="C456" i="1"/>
  <c r="D456" i="1" s="1"/>
  <c r="E456" i="1" s="1"/>
  <c r="C443" i="1"/>
  <c r="D443" i="1" s="1"/>
  <c r="E443" i="1" s="1"/>
  <c r="C403" i="1"/>
  <c r="D403" i="1" s="1"/>
  <c r="E403" i="1" s="1"/>
  <c r="C388" i="1"/>
  <c r="D388" i="1" s="1"/>
  <c r="E388" i="1" s="1"/>
  <c r="C374" i="1"/>
  <c r="D374" i="1" s="1"/>
  <c r="E374" i="1" s="1"/>
  <c r="C359" i="1"/>
  <c r="D359" i="1" s="1"/>
  <c r="E359" i="1" s="1"/>
  <c r="C344" i="1"/>
  <c r="D344" i="1" s="1"/>
  <c r="E344" i="1" s="1"/>
  <c r="C328" i="1"/>
  <c r="D328" i="1" s="1"/>
  <c r="E328" i="1" s="1"/>
  <c r="C313" i="1"/>
  <c r="D313" i="1" s="1"/>
  <c r="E313" i="1" s="1"/>
  <c r="C299" i="1"/>
  <c r="D299" i="1" s="1"/>
  <c r="E299" i="1" s="1"/>
  <c r="C284" i="1"/>
  <c r="D284" i="1" s="1"/>
  <c r="E284" i="1" s="1"/>
  <c r="C269" i="1"/>
  <c r="D269" i="1" s="1"/>
  <c r="E269" i="1" s="1"/>
  <c r="C254" i="1"/>
  <c r="D254" i="1" s="1"/>
  <c r="E254" i="1" s="1"/>
  <c r="C238" i="1"/>
  <c r="D238" i="1" s="1"/>
  <c r="E238" i="1" s="1"/>
  <c r="C196" i="1"/>
  <c r="D196" i="1" s="1"/>
  <c r="E196" i="1" s="1"/>
  <c r="C181" i="1"/>
  <c r="D181" i="1" s="1"/>
  <c r="E181" i="1" s="1"/>
  <c r="C166" i="1"/>
  <c r="D166" i="1" s="1"/>
  <c r="E166" i="1" s="1"/>
  <c r="C152" i="1"/>
  <c r="D152" i="1" s="1"/>
  <c r="E152" i="1" s="1"/>
  <c r="C137" i="1"/>
  <c r="D137" i="1" s="1"/>
  <c r="E137" i="1" s="1"/>
  <c r="C122" i="1"/>
  <c r="D122" i="1" s="1"/>
  <c r="E122" i="1" s="1"/>
  <c r="C107" i="1"/>
  <c r="D107" i="1" s="1"/>
  <c r="E107" i="1" s="1"/>
  <c r="C92" i="1"/>
  <c r="D92" i="1" s="1"/>
  <c r="E92" i="1" s="1"/>
  <c r="C77" i="1"/>
  <c r="D77" i="1" s="1"/>
  <c r="E77" i="1" s="1"/>
  <c r="C62" i="1"/>
  <c r="D62" i="1" s="1"/>
  <c r="E62" i="1" s="1"/>
  <c r="C642" i="1"/>
  <c r="D642" i="1" s="1"/>
  <c r="E642" i="1" s="1"/>
  <c r="C627" i="1"/>
  <c r="D627" i="1" s="1"/>
  <c r="E627" i="1" s="1"/>
  <c r="C613" i="1"/>
  <c r="D613" i="1" s="1"/>
  <c r="E613" i="1" s="1"/>
  <c r="C598" i="1"/>
  <c r="D598" i="1" s="1"/>
  <c r="E598" i="1" s="1"/>
  <c r="C585" i="1"/>
  <c r="D585" i="1" s="1"/>
  <c r="E585" i="1" s="1"/>
  <c r="C570" i="1"/>
  <c r="D570" i="1" s="1"/>
  <c r="E570" i="1" s="1"/>
  <c r="C556" i="1"/>
  <c r="D556" i="1" s="1"/>
  <c r="E556" i="1" s="1"/>
  <c r="C541" i="1"/>
  <c r="D541" i="1" s="1"/>
  <c r="E541" i="1" s="1"/>
  <c r="C526" i="1"/>
  <c r="D526" i="1" s="1"/>
  <c r="E526" i="1" s="1"/>
  <c r="C511" i="1"/>
  <c r="D511" i="1" s="1"/>
  <c r="E511" i="1" s="1"/>
  <c r="C484" i="1"/>
  <c r="D484" i="1" s="1"/>
  <c r="E484" i="1" s="1"/>
  <c r="C455" i="1"/>
  <c r="D455" i="1" s="1"/>
  <c r="E455" i="1" s="1"/>
  <c r="C442" i="1"/>
  <c r="D442" i="1" s="1"/>
  <c r="E442" i="1" s="1"/>
  <c r="C428" i="1"/>
  <c r="D428" i="1" s="1"/>
  <c r="E428" i="1" s="1"/>
  <c r="C402" i="1"/>
  <c r="D402" i="1" s="1"/>
  <c r="E402" i="1" s="1"/>
  <c r="C387" i="1"/>
  <c r="D387" i="1" s="1"/>
  <c r="E387" i="1" s="1"/>
  <c r="C373" i="1"/>
  <c r="D373" i="1" s="1"/>
  <c r="E373" i="1" s="1"/>
  <c r="C358" i="1"/>
  <c r="D358" i="1" s="1"/>
  <c r="E358" i="1" s="1"/>
  <c r="C343" i="1"/>
  <c r="D343" i="1" s="1"/>
  <c r="E343" i="1" s="1"/>
  <c r="C327" i="1"/>
  <c r="D327" i="1" s="1"/>
  <c r="E327" i="1" s="1"/>
  <c r="C312" i="1"/>
  <c r="D312" i="1" s="1"/>
  <c r="E312" i="1" s="1"/>
  <c r="C298" i="1"/>
  <c r="D298" i="1" s="1"/>
  <c r="E298" i="1" s="1"/>
  <c r="C283" i="1"/>
  <c r="D283" i="1" s="1"/>
  <c r="E283" i="1" s="1"/>
  <c r="C253" i="1"/>
  <c r="D253" i="1" s="1"/>
  <c r="E253" i="1" s="1"/>
  <c r="C237" i="1"/>
  <c r="D237" i="1" s="1"/>
  <c r="E237" i="1" s="1"/>
  <c r="C222" i="1"/>
  <c r="D222" i="1" s="1"/>
  <c r="E222" i="1" s="1"/>
  <c r="C195" i="1"/>
  <c r="D195" i="1" s="1"/>
  <c r="E195" i="1" s="1"/>
  <c r="C165" i="1"/>
  <c r="D165" i="1" s="1"/>
  <c r="E165" i="1" s="1"/>
  <c r="C151" i="1"/>
  <c r="D151" i="1" s="1"/>
  <c r="E151" i="1" s="1"/>
  <c r="C136" i="1"/>
  <c r="D136" i="1" s="1"/>
  <c r="E136" i="1" s="1"/>
  <c r="C121" i="1"/>
  <c r="D121" i="1" s="1"/>
  <c r="E121" i="1" s="1"/>
  <c r="C106" i="1"/>
  <c r="D106" i="1" s="1"/>
  <c r="E106" i="1" s="1"/>
  <c r="C91" i="1"/>
  <c r="D91" i="1" s="1"/>
  <c r="E91" i="1" s="1"/>
  <c r="C76" i="1"/>
  <c r="D76" i="1" s="1"/>
  <c r="E76" i="1" s="1"/>
  <c r="C61" i="1"/>
  <c r="D61" i="1" s="1"/>
  <c r="E61" i="1" s="1"/>
  <c r="C47" i="1"/>
  <c r="D47" i="1" s="1"/>
  <c r="E47" i="1" s="1"/>
  <c r="C31" i="1"/>
  <c r="D31" i="1" s="1"/>
  <c r="E31" i="1" s="1"/>
  <c r="C612" i="1"/>
  <c r="D612" i="1" s="1"/>
  <c r="E612" i="1" s="1"/>
  <c r="C584" i="1"/>
  <c r="D584" i="1" s="1"/>
  <c r="E584" i="1" s="1"/>
  <c r="C555" i="1"/>
  <c r="D555" i="1" s="1"/>
  <c r="E555" i="1" s="1"/>
  <c r="C540" i="1"/>
  <c r="D540" i="1" s="1"/>
  <c r="E540" i="1" s="1"/>
  <c r="C525" i="1"/>
  <c r="D525" i="1" s="1"/>
  <c r="E525" i="1" s="1"/>
  <c r="C510" i="1"/>
  <c r="D510" i="1" s="1"/>
  <c r="E510" i="1" s="1"/>
  <c r="C483" i="1"/>
  <c r="D483" i="1" s="1"/>
  <c r="E483" i="1" s="1"/>
  <c r="C469" i="1"/>
  <c r="D469" i="1" s="1"/>
  <c r="E469" i="1" s="1"/>
  <c r="C454" i="1"/>
  <c r="D454" i="1" s="1"/>
  <c r="E454" i="1" s="1"/>
  <c r="C441" i="1"/>
  <c r="D441" i="1" s="1"/>
  <c r="E441" i="1" s="1"/>
  <c r="C415" i="1"/>
  <c r="D415" i="1" s="1"/>
  <c r="E415" i="1" s="1"/>
  <c r="C386" i="1"/>
  <c r="D386" i="1" s="1"/>
  <c r="E386" i="1" s="1"/>
  <c r="C372" i="1"/>
  <c r="D372" i="1" s="1"/>
  <c r="E372" i="1" s="1"/>
  <c r="C357" i="1"/>
  <c r="D357" i="1" s="1"/>
  <c r="E357" i="1" s="1"/>
  <c r="C342" i="1"/>
  <c r="D342" i="1" s="1"/>
  <c r="E342" i="1" s="1"/>
  <c r="C326" i="1"/>
  <c r="D326" i="1" s="1"/>
  <c r="E326" i="1" s="1"/>
  <c r="C311" i="1"/>
  <c r="D311" i="1" s="1"/>
  <c r="E311" i="1" s="1"/>
  <c r="C297" i="1"/>
  <c r="D297" i="1" s="1"/>
  <c r="E297" i="1" s="1"/>
  <c r="C282" i="1"/>
  <c r="D282" i="1" s="1"/>
  <c r="E282" i="1" s="1"/>
  <c r="C268" i="1"/>
  <c r="D268" i="1" s="1"/>
  <c r="E268" i="1" s="1"/>
  <c r="C252" i="1"/>
  <c r="D252" i="1" s="1"/>
  <c r="E252" i="1" s="1"/>
  <c r="C236" i="1"/>
  <c r="D236" i="1" s="1"/>
  <c r="E236" i="1" s="1"/>
  <c r="C207" i="1"/>
  <c r="D207" i="1" s="1"/>
  <c r="E207" i="1" s="1"/>
  <c r="C194" i="1"/>
  <c r="D194" i="1" s="1"/>
  <c r="E194" i="1" s="1"/>
  <c r="C180" i="1"/>
  <c r="D180" i="1" s="1"/>
  <c r="E180" i="1" s="1"/>
  <c r="C150" i="1"/>
  <c r="D150" i="1" s="1"/>
  <c r="E150" i="1" s="1"/>
  <c r="C135" i="1"/>
  <c r="D135" i="1" s="1"/>
  <c r="E135" i="1" s="1"/>
  <c r="C120" i="1"/>
  <c r="D120" i="1" s="1"/>
  <c r="E120" i="1" s="1"/>
  <c r="C105" i="1"/>
  <c r="D105" i="1" s="1"/>
  <c r="E105" i="1" s="1"/>
  <c r="C90" i="1"/>
  <c r="D90" i="1" s="1"/>
  <c r="E90" i="1" s="1"/>
  <c r="C75" i="1"/>
  <c r="D75" i="1" s="1"/>
  <c r="E75" i="1" s="1"/>
  <c r="C46" i="1"/>
  <c r="D46" i="1" s="1"/>
  <c r="E46" i="1" s="1"/>
  <c r="C30" i="1"/>
  <c r="D30" i="1" s="1"/>
  <c r="E30" i="1" s="1"/>
  <c r="C15" i="1"/>
  <c r="D15" i="1" s="1"/>
  <c r="E15" i="1" s="1"/>
  <c r="C890" i="1"/>
  <c r="D890" i="1" s="1"/>
  <c r="E890" i="1" s="1"/>
  <c r="C863" i="1"/>
  <c r="D863" i="1" s="1"/>
  <c r="E863" i="1" s="1"/>
  <c r="C835" i="1"/>
  <c r="D835" i="1" s="1"/>
  <c r="E835" i="1" s="1"/>
  <c r="C822" i="1"/>
  <c r="D822" i="1" s="1"/>
  <c r="E822" i="1" s="1"/>
  <c r="C808" i="1"/>
  <c r="D808" i="1" s="1"/>
  <c r="E808" i="1" s="1"/>
  <c r="C794" i="1"/>
  <c r="D794" i="1" s="1"/>
  <c r="E794" i="1" s="1"/>
  <c r="C781" i="1"/>
  <c r="D781" i="1" s="1"/>
  <c r="E781" i="1" s="1"/>
  <c r="C767" i="1"/>
  <c r="D767" i="1" s="1"/>
  <c r="E767" i="1" s="1"/>
  <c r="C738" i="1"/>
  <c r="D738" i="1" s="1"/>
  <c r="E738" i="1" s="1"/>
  <c r="C723" i="1"/>
  <c r="D723" i="1" s="1"/>
  <c r="E723" i="1" s="1"/>
  <c r="C708" i="1"/>
  <c r="D708" i="1" s="1"/>
  <c r="E708" i="1" s="1"/>
  <c r="C668" i="1"/>
  <c r="D668" i="1" s="1"/>
  <c r="E668" i="1" s="1"/>
  <c r="C654" i="1"/>
  <c r="D654" i="1" s="1"/>
  <c r="E654" i="1" s="1"/>
  <c r="C626" i="1"/>
  <c r="D626" i="1" s="1"/>
  <c r="E626" i="1" s="1"/>
  <c r="C611" i="1"/>
  <c r="D611" i="1" s="1"/>
  <c r="E611" i="1" s="1"/>
  <c r="C597" i="1"/>
  <c r="D597" i="1" s="1"/>
  <c r="E597" i="1" s="1"/>
  <c r="C583" i="1"/>
  <c r="D583" i="1" s="1"/>
  <c r="E583" i="1" s="1"/>
  <c r="C569" i="1"/>
  <c r="D569" i="1" s="1"/>
  <c r="E569" i="1" s="1"/>
  <c r="C554" i="1"/>
  <c r="D554" i="1" s="1"/>
  <c r="E554" i="1" s="1"/>
  <c r="C539" i="1"/>
  <c r="D539" i="1" s="1"/>
  <c r="E539" i="1" s="1"/>
  <c r="C524" i="1"/>
  <c r="D524" i="1" s="1"/>
  <c r="E524" i="1" s="1"/>
  <c r="C509" i="1"/>
  <c r="D509" i="1" s="1"/>
  <c r="E509" i="1" s="1"/>
  <c r="C495" i="1"/>
  <c r="D495" i="1" s="1"/>
  <c r="E495" i="1" s="1"/>
  <c r="C482" i="1"/>
  <c r="D482" i="1" s="1"/>
  <c r="E482" i="1" s="1"/>
  <c r="C468" i="1"/>
  <c r="D468" i="1" s="1"/>
  <c r="E468" i="1" s="1"/>
  <c r="C453" i="1"/>
  <c r="D453" i="1" s="1"/>
  <c r="E453" i="1" s="1"/>
  <c r="C440" i="1"/>
  <c r="D440" i="1" s="1"/>
  <c r="E440" i="1" s="1"/>
  <c r="C427" i="1"/>
  <c r="D427" i="1" s="1"/>
  <c r="E427" i="1" s="1"/>
  <c r="C414" i="1"/>
  <c r="D414" i="1" s="1"/>
  <c r="E414" i="1" s="1"/>
  <c r="C371" i="1"/>
  <c r="D371" i="1" s="1"/>
  <c r="E371" i="1" s="1"/>
  <c r="C356" i="1"/>
  <c r="D356" i="1" s="1"/>
  <c r="E356" i="1" s="1"/>
  <c r="C341" i="1"/>
  <c r="D341" i="1" s="1"/>
  <c r="E341" i="1" s="1"/>
  <c r="C325" i="1"/>
  <c r="D325" i="1" s="1"/>
  <c r="E325" i="1" s="1"/>
  <c r="C310" i="1"/>
  <c r="D310" i="1" s="1"/>
  <c r="E310" i="1" s="1"/>
  <c r="C296" i="1"/>
  <c r="D296" i="1" s="1"/>
  <c r="E296" i="1" s="1"/>
  <c r="C281" i="1"/>
  <c r="D281" i="1" s="1"/>
  <c r="E281" i="1" s="1"/>
  <c r="C267" i="1"/>
  <c r="D267" i="1" s="1"/>
  <c r="E267" i="1" s="1"/>
  <c r="C251" i="1"/>
  <c r="D251" i="1" s="1"/>
  <c r="E251" i="1" s="1"/>
  <c r="C235" i="1"/>
  <c r="D235" i="1" s="1"/>
  <c r="E235" i="1" s="1"/>
  <c r="C221" i="1"/>
  <c r="D221" i="1" s="1"/>
  <c r="E221" i="1" s="1"/>
  <c r="C179" i="1"/>
  <c r="D179" i="1" s="1"/>
  <c r="E179" i="1" s="1"/>
  <c r="C164" i="1"/>
  <c r="D164" i="1" s="1"/>
  <c r="E164" i="1" s="1"/>
  <c r="C149" i="1"/>
  <c r="D149" i="1" s="1"/>
  <c r="E149" i="1" s="1"/>
  <c r="C134" i="1"/>
  <c r="D134" i="1" s="1"/>
  <c r="E134" i="1" s="1"/>
  <c r="C119" i="1"/>
  <c r="D119" i="1" s="1"/>
  <c r="E119" i="1" s="1"/>
  <c r="C104" i="1"/>
  <c r="D104" i="1" s="1"/>
  <c r="E104" i="1" s="1"/>
  <c r="C89" i="1"/>
  <c r="D89" i="1" s="1"/>
  <c r="E89" i="1" s="1"/>
  <c r="C74" i="1"/>
  <c r="D74" i="1" s="1"/>
  <c r="E74" i="1" s="1"/>
  <c r="C60" i="1"/>
  <c r="D60" i="1" s="1"/>
  <c r="E60" i="1" s="1"/>
  <c r="C45" i="1"/>
  <c r="D45" i="1" s="1"/>
  <c r="E45" i="1" s="1"/>
  <c r="C29" i="1"/>
  <c r="D29" i="1" s="1"/>
  <c r="E29" i="1" s="1"/>
  <c r="C14" i="1"/>
  <c r="D14" i="1" s="1"/>
  <c r="E14" i="1" s="1"/>
  <c r="C1014" i="1"/>
  <c r="D1014" i="1" s="1"/>
  <c r="E1014" i="1" s="1"/>
  <c r="C1000" i="1"/>
  <c r="D1000" i="1" s="1"/>
  <c r="E1000" i="1" s="1"/>
  <c r="C987" i="1"/>
  <c r="D987" i="1" s="1"/>
  <c r="E987" i="1" s="1"/>
  <c r="C975" i="1"/>
  <c r="D975" i="1" s="1"/>
  <c r="E975" i="1" s="1"/>
  <c r="C946" i="1"/>
  <c r="D946" i="1" s="1"/>
  <c r="E946" i="1" s="1"/>
  <c r="C932" i="1"/>
  <c r="D932" i="1" s="1"/>
  <c r="E932" i="1" s="1"/>
  <c r="C918" i="1"/>
  <c r="D918" i="1" s="1"/>
  <c r="E918" i="1" s="1"/>
  <c r="C904" i="1"/>
  <c r="D904" i="1" s="1"/>
  <c r="E904" i="1" s="1"/>
  <c r="C889" i="1"/>
  <c r="D889" i="1" s="1"/>
  <c r="E889" i="1" s="1"/>
  <c r="C876" i="1"/>
  <c r="D876" i="1" s="1"/>
  <c r="E876" i="1" s="1"/>
  <c r="C862" i="1"/>
  <c r="D862" i="1" s="1"/>
  <c r="E862" i="1" s="1"/>
  <c r="C847" i="1"/>
  <c r="D847" i="1" s="1"/>
  <c r="E847" i="1" s="1"/>
  <c r="C834" i="1"/>
  <c r="D834" i="1" s="1"/>
  <c r="E834" i="1" s="1"/>
  <c r="C821" i="1"/>
  <c r="D821" i="1" s="1"/>
  <c r="E821" i="1" s="1"/>
  <c r="C807" i="1"/>
  <c r="D807" i="1" s="1"/>
  <c r="E807" i="1" s="1"/>
  <c r="C780" i="1"/>
  <c r="D780" i="1" s="1"/>
  <c r="E780" i="1" s="1"/>
  <c r="C766" i="1"/>
  <c r="D766" i="1" s="1"/>
  <c r="E766" i="1" s="1"/>
  <c r="C722" i="1"/>
  <c r="D722" i="1" s="1"/>
  <c r="E722" i="1" s="1"/>
  <c r="C707" i="1"/>
  <c r="D707" i="1" s="1"/>
  <c r="E707" i="1" s="1"/>
  <c r="C694" i="1"/>
  <c r="D694" i="1" s="1"/>
  <c r="E694" i="1" s="1"/>
  <c r="C680" i="1"/>
  <c r="D680" i="1" s="1"/>
  <c r="E680" i="1" s="1"/>
  <c r="C667" i="1"/>
  <c r="D667" i="1" s="1"/>
  <c r="E667" i="1" s="1"/>
  <c r="C653" i="1"/>
  <c r="D653" i="1" s="1"/>
  <c r="E653" i="1" s="1"/>
  <c r="C596" i="1"/>
  <c r="D596" i="1" s="1"/>
  <c r="E596" i="1" s="1"/>
  <c r="C582" i="1"/>
  <c r="D582" i="1" s="1"/>
  <c r="E582" i="1" s="1"/>
  <c r="C568" i="1"/>
  <c r="D568" i="1" s="1"/>
  <c r="E568" i="1" s="1"/>
  <c r="C553" i="1"/>
  <c r="D553" i="1" s="1"/>
  <c r="E553" i="1" s="1"/>
  <c r="C538" i="1"/>
  <c r="D538" i="1" s="1"/>
  <c r="E538" i="1" s="1"/>
  <c r="C523" i="1"/>
  <c r="D523" i="1" s="1"/>
  <c r="E523" i="1" s="1"/>
  <c r="C508" i="1"/>
  <c r="D508" i="1" s="1"/>
  <c r="E508" i="1" s="1"/>
  <c r="C494" i="1"/>
  <c r="D494" i="1" s="1"/>
  <c r="E494" i="1" s="1"/>
  <c r="C467" i="1"/>
  <c r="D467" i="1" s="1"/>
  <c r="E467" i="1" s="1"/>
  <c r="C439" i="1"/>
  <c r="D439" i="1" s="1"/>
  <c r="E439" i="1" s="1"/>
  <c r="C426" i="1"/>
  <c r="D426" i="1" s="1"/>
  <c r="E426" i="1" s="1"/>
  <c r="C413" i="1"/>
  <c r="D413" i="1" s="1"/>
  <c r="E413" i="1" s="1"/>
  <c r="C399" i="1"/>
  <c r="D399" i="1" s="1"/>
  <c r="E399" i="1" s="1"/>
  <c r="C370" i="1"/>
  <c r="D370" i="1" s="1"/>
  <c r="E370" i="1" s="1"/>
  <c r="C355" i="1"/>
  <c r="D355" i="1" s="1"/>
  <c r="E355" i="1" s="1"/>
  <c r="C340" i="1"/>
  <c r="D340" i="1" s="1"/>
  <c r="E340" i="1" s="1"/>
  <c r="C324" i="1"/>
  <c r="D324" i="1" s="1"/>
  <c r="E324" i="1" s="1"/>
  <c r="C295" i="1"/>
  <c r="D295" i="1" s="1"/>
  <c r="E295" i="1" s="1"/>
  <c r="C280" i="1"/>
  <c r="D280" i="1" s="1"/>
  <c r="E280" i="1" s="1"/>
  <c r="C266" i="1"/>
  <c r="D266" i="1" s="1"/>
  <c r="E266" i="1" s="1"/>
  <c r="C250" i="1"/>
  <c r="D250" i="1" s="1"/>
  <c r="E250" i="1" s="1"/>
  <c r="C234" i="1"/>
  <c r="D234" i="1" s="1"/>
  <c r="E234" i="1" s="1"/>
  <c r="C220" i="1"/>
  <c r="D220" i="1" s="1"/>
  <c r="E220" i="1" s="1"/>
  <c r="C206" i="1"/>
  <c r="D206" i="1" s="1"/>
  <c r="E206" i="1" s="1"/>
  <c r="C178" i="1"/>
  <c r="D178" i="1" s="1"/>
  <c r="E178" i="1" s="1"/>
  <c r="C163" i="1"/>
  <c r="D163" i="1" s="1"/>
  <c r="E163" i="1" s="1"/>
  <c r="C148" i="1"/>
  <c r="D148" i="1" s="1"/>
  <c r="E148" i="1" s="1"/>
  <c r="C133" i="1"/>
  <c r="D133" i="1" s="1"/>
  <c r="E133" i="1" s="1"/>
  <c r="C118" i="1"/>
  <c r="D118" i="1" s="1"/>
  <c r="E118" i="1" s="1"/>
  <c r="C103" i="1"/>
  <c r="D103" i="1" s="1"/>
  <c r="E103" i="1" s="1"/>
  <c r="C88" i="1"/>
  <c r="D88" i="1" s="1"/>
  <c r="E88" i="1" s="1"/>
  <c r="C73" i="1"/>
  <c r="D73" i="1" s="1"/>
  <c r="E73" i="1" s="1"/>
  <c r="C59" i="1"/>
  <c r="D59" i="1" s="1"/>
  <c r="E59" i="1" s="1"/>
  <c r="C44" i="1"/>
  <c r="D44" i="1" s="1"/>
  <c r="E44" i="1" s="1"/>
  <c r="C13" i="1"/>
  <c r="D13" i="1" s="1"/>
  <c r="E13" i="1" s="1"/>
  <c r="C999" i="1"/>
  <c r="D999" i="1" s="1"/>
  <c r="E999" i="1" s="1"/>
  <c r="C986" i="1"/>
  <c r="D986" i="1" s="1"/>
  <c r="E986" i="1" s="1"/>
  <c r="C974" i="1"/>
  <c r="D974" i="1" s="1"/>
  <c r="E974" i="1" s="1"/>
  <c r="C931" i="1"/>
  <c r="D931" i="1" s="1"/>
  <c r="E931" i="1" s="1"/>
  <c r="C917" i="1"/>
  <c r="D917" i="1" s="1"/>
  <c r="E917" i="1" s="1"/>
  <c r="C903" i="1"/>
  <c r="D903" i="1" s="1"/>
  <c r="E903" i="1" s="1"/>
  <c r="C875" i="1"/>
  <c r="D875" i="1" s="1"/>
  <c r="E875" i="1" s="1"/>
  <c r="C861" i="1"/>
  <c r="D861" i="1" s="1"/>
  <c r="E861" i="1" s="1"/>
  <c r="C846" i="1"/>
  <c r="D846" i="1" s="1"/>
  <c r="E846" i="1" s="1"/>
  <c r="C820" i="1"/>
  <c r="D820" i="1" s="1"/>
  <c r="E820" i="1" s="1"/>
  <c r="C793" i="1"/>
  <c r="D793" i="1" s="1"/>
  <c r="E793" i="1" s="1"/>
  <c r="C779" i="1"/>
  <c r="D779" i="1" s="1"/>
  <c r="E779" i="1" s="1"/>
  <c r="C765" i="1"/>
  <c r="D765" i="1" s="1"/>
  <c r="E765" i="1" s="1"/>
  <c r="C751" i="1"/>
  <c r="D751" i="1" s="1"/>
  <c r="E751" i="1" s="1"/>
  <c r="C706" i="1"/>
  <c r="D706" i="1" s="1"/>
  <c r="E706" i="1" s="1"/>
  <c r="C693" i="1"/>
  <c r="D693" i="1" s="1"/>
  <c r="E693" i="1" s="1"/>
  <c r="C679" i="1"/>
  <c r="D679" i="1" s="1"/>
  <c r="E679" i="1" s="1"/>
  <c r="C666" i="1"/>
  <c r="D666" i="1" s="1"/>
  <c r="E666" i="1" s="1"/>
  <c r="C652" i="1"/>
  <c r="D652" i="1" s="1"/>
  <c r="E652" i="1" s="1"/>
  <c r="C639" i="1"/>
  <c r="D639" i="1" s="1"/>
  <c r="E639" i="1" s="1"/>
  <c r="C610" i="1"/>
  <c r="D610" i="1" s="1"/>
  <c r="E610" i="1" s="1"/>
  <c r="C595" i="1"/>
  <c r="D595" i="1" s="1"/>
  <c r="E595" i="1" s="1"/>
  <c r="C581" i="1"/>
  <c r="D581" i="1" s="1"/>
  <c r="E581" i="1" s="1"/>
  <c r="C567" i="1"/>
  <c r="D567" i="1" s="1"/>
  <c r="E567" i="1" s="1"/>
  <c r="C552" i="1"/>
  <c r="D552" i="1" s="1"/>
  <c r="E552" i="1" s="1"/>
  <c r="C522" i="1"/>
  <c r="D522" i="1" s="1"/>
  <c r="E522" i="1" s="1"/>
  <c r="C493" i="1"/>
  <c r="D493" i="1" s="1"/>
  <c r="E493" i="1" s="1"/>
  <c r="C466" i="1"/>
  <c r="D466" i="1" s="1"/>
  <c r="E466" i="1" s="1"/>
  <c r="C452" i="1"/>
  <c r="D452" i="1" s="1"/>
  <c r="E452" i="1" s="1"/>
  <c r="C438" i="1"/>
  <c r="D438" i="1" s="1"/>
  <c r="E438" i="1" s="1"/>
  <c r="C412" i="1"/>
  <c r="D412" i="1" s="1"/>
  <c r="E412" i="1" s="1"/>
  <c r="C398" i="1"/>
  <c r="D398" i="1" s="1"/>
  <c r="E398" i="1" s="1"/>
  <c r="C383" i="1"/>
  <c r="D383" i="1" s="1"/>
  <c r="E383" i="1" s="1"/>
  <c r="C354" i="1"/>
  <c r="D354" i="1" s="1"/>
  <c r="E354" i="1" s="1"/>
  <c r="C339" i="1"/>
  <c r="D339" i="1" s="1"/>
  <c r="E339" i="1" s="1"/>
  <c r="C323" i="1"/>
  <c r="D323" i="1" s="1"/>
  <c r="E323" i="1" s="1"/>
  <c r="C309" i="1"/>
  <c r="D309" i="1" s="1"/>
  <c r="E309" i="1" s="1"/>
  <c r="C294" i="1"/>
  <c r="D294" i="1" s="1"/>
  <c r="E294" i="1" s="1"/>
  <c r="C279" i="1"/>
  <c r="D279" i="1" s="1"/>
  <c r="E279" i="1" s="1"/>
  <c r="C265" i="1"/>
  <c r="D265" i="1" s="1"/>
  <c r="E265" i="1" s="1"/>
  <c r="C249" i="1"/>
  <c r="D249" i="1" s="1"/>
  <c r="E249" i="1" s="1"/>
  <c r="C233" i="1"/>
  <c r="D233" i="1" s="1"/>
  <c r="E233" i="1" s="1"/>
  <c r="C219" i="1"/>
  <c r="D219" i="1" s="1"/>
  <c r="E219" i="1" s="1"/>
  <c r="C191" i="1"/>
  <c r="D191" i="1" s="1"/>
  <c r="E191" i="1" s="1"/>
  <c r="C162" i="1"/>
  <c r="D162" i="1" s="1"/>
  <c r="E162" i="1" s="1"/>
  <c r="C147" i="1"/>
  <c r="D147" i="1" s="1"/>
  <c r="E147" i="1" s="1"/>
  <c r="C132" i="1"/>
  <c r="D132" i="1" s="1"/>
  <c r="E132" i="1" s="1"/>
  <c r="C117" i="1"/>
  <c r="D117" i="1" s="1"/>
  <c r="E117" i="1" s="1"/>
  <c r="C102" i="1"/>
  <c r="D102" i="1" s="1"/>
  <c r="E102" i="1" s="1"/>
  <c r="C87" i="1"/>
  <c r="D87" i="1" s="1"/>
  <c r="E87" i="1" s="1"/>
  <c r="C72" i="1"/>
  <c r="D72" i="1" s="1"/>
  <c r="E72" i="1" s="1"/>
  <c r="C58" i="1"/>
  <c r="D58" i="1" s="1"/>
  <c r="E58" i="1" s="1"/>
  <c r="C43" i="1"/>
  <c r="D43" i="1" s="1"/>
  <c r="E43" i="1" s="1"/>
  <c r="C28" i="1"/>
  <c r="D28" i="1" s="1"/>
  <c r="E28" i="1" s="1"/>
  <c r="C12" i="1"/>
  <c r="D12" i="1" s="1"/>
  <c r="E12" i="1" s="1"/>
  <c r="C1013" i="1"/>
  <c r="D1013" i="1" s="1"/>
  <c r="E1013" i="1" s="1"/>
  <c r="C973" i="1"/>
  <c r="D973" i="1" s="1"/>
  <c r="E973" i="1" s="1"/>
  <c r="C959" i="1"/>
  <c r="D959" i="1" s="1"/>
  <c r="E959" i="1" s="1"/>
  <c r="C930" i="1"/>
  <c r="D930" i="1" s="1"/>
  <c r="E930" i="1" s="1"/>
  <c r="C916" i="1"/>
  <c r="D916" i="1" s="1"/>
  <c r="E916" i="1" s="1"/>
  <c r="C902" i="1"/>
  <c r="D902" i="1" s="1"/>
  <c r="E902" i="1" s="1"/>
  <c r="C888" i="1"/>
  <c r="D888" i="1" s="1"/>
  <c r="E888" i="1" s="1"/>
  <c r="C874" i="1"/>
  <c r="D874" i="1" s="1"/>
  <c r="E874" i="1" s="1"/>
  <c r="C860" i="1"/>
  <c r="D860" i="1" s="1"/>
  <c r="E860" i="1" s="1"/>
  <c r="C845" i="1"/>
  <c r="D845" i="1" s="1"/>
  <c r="E845" i="1" s="1"/>
  <c r="C819" i="1"/>
  <c r="D819" i="1" s="1"/>
  <c r="E819" i="1" s="1"/>
  <c r="C806" i="1"/>
  <c r="D806" i="1" s="1"/>
  <c r="E806" i="1" s="1"/>
  <c r="C764" i="1"/>
  <c r="D764" i="1" s="1"/>
  <c r="E764" i="1" s="1"/>
  <c r="C750" i="1"/>
  <c r="D750" i="1" s="1"/>
  <c r="E750" i="1" s="1"/>
  <c r="C735" i="1"/>
  <c r="D735" i="1" s="1"/>
  <c r="E735" i="1" s="1"/>
  <c r="C692" i="1"/>
  <c r="D692" i="1" s="1"/>
  <c r="E692" i="1" s="1"/>
  <c r="C665" i="1"/>
  <c r="D665" i="1" s="1"/>
  <c r="E665" i="1" s="1"/>
  <c r="C651" i="1"/>
  <c r="D651" i="1" s="1"/>
  <c r="E651" i="1" s="1"/>
  <c r="C638" i="1"/>
  <c r="D638" i="1" s="1"/>
  <c r="E638" i="1" s="1"/>
  <c r="C623" i="1"/>
  <c r="D623" i="1" s="1"/>
  <c r="E623" i="1" s="1"/>
  <c r="C594" i="1"/>
  <c r="D594" i="1" s="1"/>
  <c r="E594" i="1" s="1"/>
  <c r="C580" i="1"/>
  <c r="D580" i="1" s="1"/>
  <c r="E580" i="1" s="1"/>
  <c r="C566" i="1"/>
  <c r="D566" i="1" s="1"/>
  <c r="E566" i="1" s="1"/>
  <c r="C551" i="1"/>
  <c r="D551" i="1" s="1"/>
  <c r="E551" i="1" s="1"/>
  <c r="C537" i="1"/>
  <c r="D537" i="1" s="1"/>
  <c r="E537" i="1" s="1"/>
  <c r="C521" i="1"/>
  <c r="D521" i="1" s="1"/>
  <c r="E521" i="1" s="1"/>
  <c r="C507" i="1"/>
  <c r="D507" i="1" s="1"/>
  <c r="E507" i="1" s="1"/>
  <c r="C492" i="1"/>
  <c r="D492" i="1" s="1"/>
  <c r="E492" i="1" s="1"/>
  <c r="C479" i="1"/>
  <c r="D479" i="1" s="1"/>
  <c r="E479" i="1" s="1"/>
  <c r="C437" i="1"/>
  <c r="D437" i="1" s="1"/>
  <c r="E437" i="1" s="1"/>
  <c r="C425" i="1"/>
  <c r="D425" i="1" s="1"/>
  <c r="E425" i="1" s="1"/>
  <c r="C397" i="1"/>
  <c r="D397" i="1" s="1"/>
  <c r="E397" i="1" s="1"/>
  <c r="C382" i="1"/>
  <c r="D382" i="1" s="1"/>
  <c r="E382" i="1" s="1"/>
  <c r="C338" i="1"/>
  <c r="D338" i="1" s="1"/>
  <c r="E338" i="1" s="1"/>
  <c r="C322" i="1"/>
  <c r="D322" i="1" s="1"/>
  <c r="E322" i="1" s="1"/>
  <c r="C308" i="1"/>
  <c r="D308" i="1" s="1"/>
  <c r="E308" i="1" s="1"/>
  <c r="C293" i="1"/>
  <c r="D293" i="1" s="1"/>
  <c r="E293" i="1" s="1"/>
  <c r="C278" i="1"/>
  <c r="D278" i="1" s="1"/>
  <c r="E278" i="1" s="1"/>
  <c r="C264" i="1"/>
  <c r="D264" i="1" s="1"/>
  <c r="E264" i="1" s="1"/>
  <c r="C248" i="1"/>
  <c r="D248" i="1" s="1"/>
  <c r="E248" i="1" s="1"/>
  <c r="C232" i="1"/>
  <c r="D232" i="1" s="1"/>
  <c r="E232" i="1" s="1"/>
  <c r="C218" i="1"/>
  <c r="D218" i="1" s="1"/>
  <c r="E218" i="1" s="1"/>
  <c r="C205" i="1"/>
  <c r="D205" i="1" s="1"/>
  <c r="E205" i="1" s="1"/>
  <c r="C146" i="1"/>
  <c r="D146" i="1" s="1"/>
  <c r="E146" i="1" s="1"/>
  <c r="C131" i="1"/>
  <c r="D131" i="1" s="1"/>
  <c r="E131" i="1" s="1"/>
  <c r="C116" i="1"/>
  <c r="D116" i="1" s="1"/>
  <c r="E116" i="1" s="1"/>
  <c r="C101" i="1"/>
  <c r="D101" i="1" s="1"/>
  <c r="E101" i="1" s="1"/>
  <c r="C86" i="1"/>
  <c r="D86" i="1" s="1"/>
  <c r="E86" i="1" s="1"/>
  <c r="C71" i="1"/>
  <c r="D71" i="1" s="1"/>
  <c r="E71" i="1" s="1"/>
  <c r="C57" i="1"/>
  <c r="D57" i="1" s="1"/>
  <c r="E57" i="1" s="1"/>
  <c r="C42" i="1"/>
  <c r="D42" i="1" s="1"/>
  <c r="E42" i="1" s="1"/>
  <c r="C27" i="1"/>
  <c r="D27" i="1" s="1"/>
  <c r="E27" i="1" s="1"/>
  <c r="C11" i="1"/>
  <c r="D11" i="1" s="1"/>
  <c r="E11" i="1" s="1"/>
  <c r="C1012" i="1"/>
  <c r="D1012" i="1" s="1"/>
  <c r="E1012" i="1" s="1"/>
  <c r="C998" i="1"/>
  <c r="D998" i="1" s="1"/>
  <c r="E998" i="1" s="1"/>
  <c r="C985" i="1"/>
  <c r="D985" i="1" s="1"/>
  <c r="E985" i="1" s="1"/>
  <c r="C972" i="1"/>
  <c r="D972" i="1" s="1"/>
  <c r="E972" i="1" s="1"/>
  <c r="C958" i="1"/>
  <c r="D958" i="1" s="1"/>
  <c r="E958" i="1" s="1"/>
  <c r="C915" i="1"/>
  <c r="D915" i="1" s="1"/>
  <c r="E915" i="1" s="1"/>
  <c r="C901" i="1"/>
  <c r="D901" i="1" s="1"/>
  <c r="E901" i="1" s="1"/>
  <c r="C887" i="1"/>
  <c r="D887" i="1" s="1"/>
  <c r="E887" i="1" s="1"/>
  <c r="C873" i="1"/>
  <c r="D873" i="1" s="1"/>
  <c r="E873" i="1" s="1"/>
  <c r="C859" i="1"/>
  <c r="D859" i="1" s="1"/>
  <c r="E859" i="1" s="1"/>
  <c r="C844" i="1"/>
  <c r="D844" i="1" s="1"/>
  <c r="E844" i="1" s="1"/>
  <c r="C818" i="1"/>
  <c r="D818" i="1" s="1"/>
  <c r="E818" i="1" s="1"/>
  <c r="C805" i="1"/>
  <c r="D805" i="1" s="1"/>
  <c r="E805" i="1" s="1"/>
  <c r="C792" i="1"/>
  <c r="D792" i="1" s="1"/>
  <c r="E792" i="1" s="1"/>
  <c r="C778" i="1"/>
  <c r="D778" i="1" s="1"/>
  <c r="E778" i="1" s="1"/>
  <c r="C763" i="1"/>
  <c r="D763" i="1" s="1"/>
  <c r="E763" i="1" s="1"/>
  <c r="C749" i="1"/>
  <c r="D749" i="1" s="1"/>
  <c r="E749" i="1" s="1"/>
  <c r="C734" i="1"/>
  <c r="D734" i="1" s="1"/>
  <c r="E734" i="1" s="1"/>
  <c r="C719" i="1"/>
  <c r="D719" i="1" s="1"/>
  <c r="E719" i="1" s="1"/>
  <c r="C691" i="1"/>
  <c r="D691" i="1" s="1"/>
  <c r="E691" i="1" s="1"/>
  <c r="C678" i="1"/>
  <c r="D678" i="1" s="1"/>
  <c r="E678" i="1" s="1"/>
  <c r="C664" i="1"/>
  <c r="D664" i="1" s="1"/>
  <c r="E664" i="1" s="1"/>
  <c r="C650" i="1"/>
  <c r="D650" i="1" s="1"/>
  <c r="E650" i="1" s="1"/>
  <c r="C637" i="1"/>
  <c r="D637" i="1" s="1"/>
  <c r="E637" i="1" s="1"/>
  <c r="C622" i="1"/>
  <c r="D622" i="1" s="1"/>
  <c r="E622" i="1" s="1"/>
  <c r="C579" i="1"/>
  <c r="D579" i="1" s="1"/>
  <c r="E579" i="1" s="1"/>
  <c r="C565" i="1"/>
  <c r="D565" i="1" s="1"/>
  <c r="E565" i="1" s="1"/>
  <c r="C536" i="1"/>
  <c r="D536" i="1" s="1"/>
  <c r="E536" i="1" s="1"/>
  <c r="C520" i="1"/>
  <c r="D520" i="1" s="1"/>
  <c r="E520" i="1" s="1"/>
  <c r="C506" i="1"/>
  <c r="D506" i="1" s="1"/>
  <c r="E506" i="1" s="1"/>
  <c r="C491" i="1"/>
  <c r="D491" i="1" s="1"/>
  <c r="E491" i="1" s="1"/>
  <c r="C451" i="1"/>
  <c r="D451" i="1" s="1"/>
  <c r="E451" i="1" s="1"/>
  <c r="C436" i="1"/>
  <c r="D436" i="1" s="1"/>
  <c r="E436" i="1" s="1"/>
  <c r="C424" i="1"/>
  <c r="D424" i="1" s="1"/>
  <c r="E424" i="1" s="1"/>
  <c r="C411" i="1"/>
  <c r="D411" i="1" s="1"/>
  <c r="E411" i="1" s="1"/>
  <c r="C396" i="1"/>
  <c r="D396" i="1" s="1"/>
  <c r="E396" i="1" s="1"/>
  <c r="C381" i="1"/>
  <c r="D381" i="1" s="1"/>
  <c r="E381" i="1" s="1"/>
  <c r="C367" i="1"/>
  <c r="D367" i="1" s="1"/>
  <c r="E367" i="1" s="1"/>
  <c r="C307" i="1"/>
  <c r="D307" i="1" s="1"/>
  <c r="E307" i="1" s="1"/>
  <c r="C292" i="1"/>
  <c r="D292" i="1" s="1"/>
  <c r="E292" i="1" s="1"/>
  <c r="C277" i="1"/>
  <c r="D277" i="1" s="1"/>
  <c r="E277" i="1" s="1"/>
  <c r="C263" i="1"/>
  <c r="D263" i="1" s="1"/>
  <c r="E263" i="1" s="1"/>
  <c r="C247" i="1"/>
  <c r="D247" i="1" s="1"/>
  <c r="E247" i="1" s="1"/>
  <c r="C231" i="1"/>
  <c r="D231" i="1" s="1"/>
  <c r="E231" i="1" s="1"/>
  <c r="C217" i="1"/>
  <c r="D217" i="1" s="1"/>
  <c r="E217" i="1" s="1"/>
  <c r="C190" i="1"/>
  <c r="D190" i="1" s="1"/>
  <c r="E190" i="1" s="1"/>
  <c r="C175" i="1"/>
  <c r="D175" i="1" s="1"/>
  <c r="E175" i="1" s="1"/>
  <c r="C130" i="1"/>
  <c r="D130" i="1" s="1"/>
  <c r="E130" i="1" s="1"/>
  <c r="C115" i="1"/>
  <c r="D115" i="1" s="1"/>
  <c r="E115" i="1" s="1"/>
  <c r="C100" i="1"/>
  <c r="D100" i="1" s="1"/>
  <c r="E100" i="1" s="1"/>
  <c r="C85" i="1"/>
  <c r="D85" i="1" s="1"/>
  <c r="E85" i="1" s="1"/>
  <c r="C70" i="1"/>
  <c r="D70" i="1" s="1"/>
  <c r="E70" i="1" s="1"/>
  <c r="C56" i="1"/>
  <c r="D56" i="1" s="1"/>
  <c r="E56" i="1" s="1"/>
  <c r="C41" i="1"/>
  <c r="D41" i="1" s="1"/>
  <c r="E41" i="1" s="1"/>
  <c r="C26" i="1"/>
  <c r="D26" i="1" s="1"/>
  <c r="E26" i="1" s="1"/>
  <c r="C10" i="1"/>
  <c r="D10" i="1" s="1"/>
  <c r="E10" i="1" s="1"/>
  <c r="C649" i="1"/>
  <c r="D649" i="1" s="1"/>
  <c r="E649" i="1" s="1"/>
  <c r="C636" i="1"/>
  <c r="D636" i="1" s="1"/>
  <c r="E636" i="1" s="1"/>
  <c r="C621" i="1"/>
  <c r="D621" i="1" s="1"/>
  <c r="E621" i="1" s="1"/>
  <c r="C607" i="1"/>
  <c r="D607" i="1" s="1"/>
  <c r="E607" i="1" s="1"/>
  <c r="C578" i="1"/>
  <c r="D578" i="1" s="1"/>
  <c r="E578" i="1" s="1"/>
  <c r="C564" i="1"/>
  <c r="D564" i="1" s="1"/>
  <c r="E564" i="1" s="1"/>
  <c r="C550" i="1"/>
  <c r="D550" i="1" s="1"/>
  <c r="E550" i="1" s="1"/>
  <c r="C535" i="1"/>
  <c r="D535" i="1" s="1"/>
  <c r="E535" i="1" s="1"/>
  <c r="C519" i="1"/>
  <c r="D519" i="1" s="1"/>
  <c r="E519" i="1" s="1"/>
  <c r="C505" i="1"/>
  <c r="D505" i="1" s="1"/>
  <c r="E505" i="1" s="1"/>
  <c r="C490" i="1"/>
  <c r="D490" i="1" s="1"/>
  <c r="E490" i="1" s="1"/>
  <c r="C478" i="1"/>
  <c r="D478" i="1" s="1"/>
  <c r="E478" i="1" s="1"/>
  <c r="C463" i="1"/>
  <c r="D463" i="1" s="1"/>
  <c r="E463" i="1" s="1"/>
  <c r="C435" i="1"/>
  <c r="D435" i="1" s="1"/>
  <c r="E435" i="1" s="1"/>
  <c r="C410" i="1"/>
  <c r="D410" i="1" s="1"/>
  <c r="E410" i="1" s="1"/>
  <c r="C395" i="1"/>
  <c r="D395" i="1" s="1"/>
  <c r="E395" i="1" s="1"/>
  <c r="C366" i="1"/>
  <c r="D366" i="1" s="1"/>
  <c r="E366" i="1" s="1"/>
  <c r="C306" i="1"/>
  <c r="D306" i="1" s="1"/>
  <c r="E306" i="1" s="1"/>
  <c r="C291" i="1"/>
  <c r="D291" i="1" s="1"/>
  <c r="E291" i="1" s="1"/>
  <c r="C276" i="1"/>
  <c r="D276" i="1" s="1"/>
  <c r="E276" i="1" s="1"/>
  <c r="C262" i="1"/>
  <c r="D262" i="1" s="1"/>
  <c r="E262" i="1" s="1"/>
  <c r="C246" i="1"/>
  <c r="D246" i="1" s="1"/>
  <c r="E246" i="1" s="1"/>
  <c r="C230" i="1"/>
  <c r="D230" i="1" s="1"/>
  <c r="E230" i="1" s="1"/>
  <c r="C216" i="1"/>
  <c r="D216" i="1" s="1"/>
  <c r="E216" i="1" s="1"/>
  <c r="C204" i="1"/>
  <c r="D204" i="1" s="1"/>
  <c r="E204" i="1" s="1"/>
  <c r="C189" i="1"/>
  <c r="D189" i="1" s="1"/>
  <c r="E189" i="1" s="1"/>
  <c r="C174" i="1"/>
  <c r="D174" i="1" s="1"/>
  <c r="E174" i="1" s="1"/>
  <c r="C159" i="1"/>
  <c r="D159" i="1" s="1"/>
  <c r="E159" i="1" s="1"/>
  <c r="C114" i="1"/>
  <c r="D114" i="1" s="1"/>
  <c r="E114" i="1" s="1"/>
  <c r="C99" i="1"/>
  <c r="D99" i="1" s="1"/>
  <c r="E99" i="1" s="1"/>
  <c r="C69" i="1"/>
  <c r="D69" i="1" s="1"/>
  <c r="E69" i="1" s="1"/>
  <c r="C55" i="1"/>
  <c r="D55" i="1" s="1"/>
  <c r="E55" i="1" s="1"/>
  <c r="C40" i="1"/>
  <c r="D40" i="1" s="1"/>
  <c r="E40" i="1" s="1"/>
  <c r="C25" i="1"/>
  <c r="D25" i="1" s="1"/>
  <c r="E25" i="1" s="1"/>
  <c r="C9" i="1"/>
  <c r="D9" i="1" s="1"/>
  <c r="E9" i="1" s="1"/>
  <c r="C1010" i="1"/>
  <c r="D1010" i="1" s="1"/>
  <c r="E1010" i="1" s="1"/>
  <c r="C996" i="1"/>
  <c r="D996" i="1" s="1"/>
  <c r="E996" i="1" s="1"/>
  <c r="C984" i="1"/>
  <c r="D984" i="1" s="1"/>
  <c r="E984" i="1" s="1"/>
  <c r="C970" i="1"/>
  <c r="D970" i="1" s="1"/>
  <c r="E970" i="1" s="1"/>
  <c r="C956" i="1"/>
  <c r="D956" i="1" s="1"/>
  <c r="E956" i="1" s="1"/>
  <c r="C942" i="1"/>
  <c r="D942" i="1" s="1"/>
  <c r="E942" i="1" s="1"/>
  <c r="C927" i="1"/>
  <c r="D927" i="1" s="1"/>
  <c r="E927" i="1" s="1"/>
  <c r="C899" i="1"/>
  <c r="D899" i="1" s="1"/>
  <c r="E899" i="1" s="1"/>
  <c r="C885" i="1"/>
  <c r="D885" i="1" s="1"/>
  <c r="E885" i="1" s="1"/>
  <c r="C872" i="1"/>
  <c r="D872" i="1" s="1"/>
  <c r="E872" i="1" s="1"/>
  <c r="C858" i="1"/>
  <c r="D858" i="1" s="1"/>
  <c r="E858" i="1" s="1"/>
  <c r="C842" i="1"/>
  <c r="D842" i="1" s="1"/>
  <c r="E842" i="1" s="1"/>
  <c r="C830" i="1"/>
  <c r="D830" i="1" s="1"/>
  <c r="E830" i="1" s="1"/>
  <c r="C803" i="1"/>
  <c r="D803" i="1" s="1"/>
  <c r="E803" i="1" s="1"/>
  <c r="C777" i="1"/>
  <c r="D777" i="1" s="1"/>
  <c r="E777" i="1" s="1"/>
  <c r="C761" i="1"/>
  <c r="D761" i="1" s="1"/>
  <c r="E761" i="1" s="1"/>
  <c r="C747" i="1"/>
  <c r="D747" i="1" s="1"/>
  <c r="E747" i="1" s="1"/>
  <c r="C732" i="1"/>
  <c r="D732" i="1" s="1"/>
  <c r="E732" i="1" s="1"/>
  <c r="C717" i="1"/>
  <c r="D717" i="1" s="1"/>
  <c r="E717" i="1" s="1"/>
  <c r="C702" i="1"/>
  <c r="D702" i="1" s="1"/>
  <c r="E702" i="1" s="1"/>
  <c r="C676" i="1"/>
  <c r="D676" i="1" s="1"/>
  <c r="E676" i="1" s="1"/>
  <c r="C662" i="1"/>
  <c r="D662" i="1" s="1"/>
  <c r="E662" i="1" s="1"/>
  <c r="C648" i="1"/>
  <c r="D648" i="1" s="1"/>
  <c r="E648" i="1" s="1"/>
  <c r="C635" i="1"/>
  <c r="D635" i="1" s="1"/>
  <c r="E635" i="1" s="1"/>
  <c r="C620" i="1"/>
  <c r="D620" i="1" s="1"/>
  <c r="E620" i="1" s="1"/>
  <c r="C606" i="1"/>
  <c r="D606" i="1" s="1"/>
  <c r="E606" i="1" s="1"/>
  <c r="C591" i="1"/>
  <c r="D591" i="1" s="1"/>
  <c r="E591" i="1" s="1"/>
  <c r="C563" i="1"/>
  <c r="D563" i="1" s="1"/>
  <c r="E563" i="1" s="1"/>
  <c r="C549" i="1"/>
  <c r="D549" i="1" s="1"/>
  <c r="E549" i="1" s="1"/>
  <c r="C534" i="1"/>
  <c r="D534" i="1" s="1"/>
  <c r="E534" i="1" s="1"/>
  <c r="C518" i="1"/>
  <c r="D518" i="1" s="1"/>
  <c r="E518" i="1" s="1"/>
  <c r="C504" i="1"/>
  <c r="D504" i="1" s="1"/>
  <c r="E504" i="1" s="1"/>
  <c r="C489" i="1"/>
  <c r="D489" i="1" s="1"/>
  <c r="E489" i="1" s="1"/>
  <c r="C477" i="1"/>
  <c r="D477" i="1" s="1"/>
  <c r="E477" i="1" s="1"/>
  <c r="C462" i="1"/>
  <c r="D462" i="1" s="1"/>
  <c r="E462" i="1" s="1"/>
  <c r="C450" i="1"/>
  <c r="D450" i="1" s="1"/>
  <c r="E450" i="1" s="1"/>
  <c r="C434" i="1"/>
  <c r="D434" i="1" s="1"/>
  <c r="E434" i="1" s="1"/>
  <c r="C423" i="1"/>
  <c r="D423" i="1" s="1"/>
  <c r="E423" i="1" s="1"/>
  <c r="C409" i="1"/>
  <c r="D409" i="1" s="1"/>
  <c r="E409" i="1" s="1"/>
  <c r="C394" i="1"/>
  <c r="D394" i="1" s="1"/>
  <c r="E394" i="1" s="1"/>
  <c r="C380" i="1"/>
  <c r="D380" i="1" s="1"/>
  <c r="E380" i="1" s="1"/>
  <c r="C365" i="1"/>
  <c r="D365" i="1" s="1"/>
  <c r="E365" i="1" s="1"/>
  <c r="C351" i="1"/>
  <c r="D351" i="1" s="1"/>
  <c r="E351" i="1" s="1"/>
  <c r="C335" i="1"/>
  <c r="D335" i="1" s="1"/>
  <c r="E335" i="1" s="1"/>
  <c r="C319" i="1"/>
  <c r="D319" i="1" s="1"/>
  <c r="E319" i="1" s="1"/>
  <c r="C290" i="1"/>
  <c r="D290" i="1" s="1"/>
  <c r="E290" i="1" s="1"/>
  <c r="C275" i="1"/>
  <c r="D275" i="1" s="1"/>
  <c r="E275" i="1" s="1"/>
  <c r="C261" i="1"/>
  <c r="D261" i="1" s="1"/>
  <c r="E261" i="1" s="1"/>
  <c r="C245" i="1"/>
  <c r="D245" i="1" s="1"/>
  <c r="E245" i="1" s="1"/>
  <c r="C229" i="1"/>
  <c r="D229" i="1" s="1"/>
  <c r="E229" i="1" s="1"/>
  <c r="C215" i="1"/>
  <c r="D215" i="1" s="1"/>
  <c r="E215" i="1" s="1"/>
  <c r="C203" i="1"/>
  <c r="D203" i="1" s="1"/>
  <c r="E203" i="1" s="1"/>
  <c r="C188" i="1"/>
  <c r="D188" i="1" s="1"/>
  <c r="E188" i="1" s="1"/>
  <c r="C173" i="1"/>
  <c r="D173" i="1" s="1"/>
  <c r="E173" i="1" s="1"/>
  <c r="C158" i="1"/>
  <c r="D158" i="1" s="1"/>
  <c r="E158" i="1" s="1"/>
  <c r="C143" i="1"/>
  <c r="D143" i="1" s="1"/>
  <c r="E143" i="1" s="1"/>
  <c r="C98" i="1"/>
  <c r="D98" i="1" s="1"/>
  <c r="E98" i="1" s="1"/>
  <c r="C84" i="1"/>
  <c r="D84" i="1" s="1"/>
  <c r="E84" i="1" s="1"/>
  <c r="C54" i="1"/>
  <c r="D54" i="1" s="1"/>
  <c r="E54" i="1" s="1"/>
  <c r="C39" i="1"/>
  <c r="D39" i="1" s="1"/>
  <c r="E39" i="1" s="1"/>
  <c r="C24" i="1"/>
  <c r="D24" i="1" s="1"/>
  <c r="E24" i="1" s="1"/>
  <c r="C8" i="1"/>
  <c r="D8" i="1" s="1"/>
  <c r="E8" i="1" s="1"/>
  <c r="C983" i="1"/>
  <c r="D983" i="1" s="1"/>
  <c r="E983" i="1" s="1"/>
  <c r="C969" i="1"/>
  <c r="D969" i="1" s="1"/>
  <c r="E969" i="1" s="1"/>
  <c r="C955" i="1"/>
  <c r="D955" i="1" s="1"/>
  <c r="E955" i="1" s="1"/>
  <c r="C941" i="1"/>
  <c r="D941" i="1" s="1"/>
  <c r="E941" i="1" s="1"/>
  <c r="C898" i="1"/>
  <c r="D898" i="1" s="1"/>
  <c r="E898" i="1" s="1"/>
  <c r="C884" i="1"/>
  <c r="D884" i="1" s="1"/>
  <c r="E884" i="1" s="1"/>
  <c r="C871" i="1"/>
  <c r="D871" i="1" s="1"/>
  <c r="E871" i="1" s="1"/>
  <c r="C857" i="1"/>
  <c r="D857" i="1" s="1"/>
  <c r="E857" i="1" s="1"/>
  <c r="C829" i="1"/>
  <c r="D829" i="1" s="1"/>
  <c r="E829" i="1" s="1"/>
  <c r="C815" i="1"/>
  <c r="D815" i="1" s="1"/>
  <c r="E815" i="1" s="1"/>
  <c r="C802" i="1"/>
  <c r="D802" i="1" s="1"/>
  <c r="E802" i="1" s="1"/>
  <c r="C790" i="1"/>
  <c r="D790" i="1" s="1"/>
  <c r="E790" i="1" s="1"/>
  <c r="C776" i="1"/>
  <c r="D776" i="1" s="1"/>
  <c r="E776" i="1" s="1"/>
  <c r="C731" i="1"/>
  <c r="D731" i="1" s="1"/>
  <c r="E731" i="1" s="1"/>
  <c r="C716" i="1"/>
  <c r="D716" i="1" s="1"/>
  <c r="E716" i="1" s="1"/>
  <c r="C701" i="1"/>
  <c r="D701" i="1" s="1"/>
  <c r="E701" i="1" s="1"/>
  <c r="C675" i="1"/>
  <c r="D675" i="1" s="1"/>
  <c r="E675" i="1" s="1"/>
  <c r="C647" i="1"/>
  <c r="D647" i="1" s="1"/>
  <c r="E647" i="1" s="1"/>
  <c r="C634" i="1"/>
  <c r="D634" i="1" s="1"/>
  <c r="E634" i="1" s="1"/>
  <c r="C619" i="1"/>
  <c r="D619" i="1" s="1"/>
  <c r="E619" i="1" s="1"/>
  <c r="C605" i="1"/>
  <c r="D605" i="1" s="1"/>
  <c r="E605" i="1" s="1"/>
  <c r="C590" i="1"/>
  <c r="D590" i="1" s="1"/>
  <c r="E590" i="1" s="1"/>
  <c r="C562" i="1"/>
  <c r="D562" i="1" s="1"/>
  <c r="E562" i="1" s="1"/>
  <c r="C548" i="1"/>
  <c r="D548" i="1" s="1"/>
  <c r="E548" i="1" s="1"/>
  <c r="C533" i="1"/>
  <c r="D533" i="1" s="1"/>
  <c r="E533" i="1" s="1"/>
  <c r="C503" i="1"/>
  <c r="D503" i="1" s="1"/>
  <c r="E503" i="1" s="1"/>
  <c r="C488" i="1"/>
  <c r="D488" i="1" s="1"/>
  <c r="E488" i="1" s="1"/>
  <c r="C476" i="1"/>
  <c r="D476" i="1" s="1"/>
  <c r="E476" i="1" s="1"/>
  <c r="C461" i="1"/>
  <c r="D461" i="1" s="1"/>
  <c r="E461" i="1" s="1"/>
  <c r="C408" i="1"/>
  <c r="D408" i="1" s="1"/>
  <c r="E408" i="1" s="1"/>
  <c r="C393" i="1"/>
  <c r="D393" i="1" s="1"/>
  <c r="E393" i="1" s="1"/>
  <c r="C350" i="1"/>
  <c r="D350" i="1" s="1"/>
  <c r="E350" i="1" s="1"/>
  <c r="C334" i="1"/>
  <c r="D334" i="1" s="1"/>
  <c r="E334" i="1" s="1"/>
  <c r="C318" i="1"/>
  <c r="D318" i="1" s="1"/>
  <c r="E318" i="1" s="1"/>
  <c r="C260" i="1"/>
  <c r="D260" i="1" s="1"/>
  <c r="E260" i="1" s="1"/>
  <c r="C244" i="1"/>
  <c r="D244" i="1" s="1"/>
  <c r="E244" i="1" s="1"/>
  <c r="C228" i="1"/>
  <c r="D228" i="1" s="1"/>
  <c r="E228" i="1" s="1"/>
  <c r="C214" i="1"/>
  <c r="D214" i="1" s="1"/>
  <c r="E214" i="1" s="1"/>
  <c r="C202" i="1"/>
  <c r="D202" i="1" s="1"/>
  <c r="E202" i="1" s="1"/>
  <c r="C187" i="1"/>
  <c r="D187" i="1" s="1"/>
  <c r="E187" i="1" s="1"/>
  <c r="C172" i="1"/>
  <c r="D172" i="1" s="1"/>
  <c r="E172" i="1" s="1"/>
  <c r="C157" i="1"/>
  <c r="D157" i="1" s="1"/>
  <c r="E157" i="1" s="1"/>
  <c r="C142" i="1"/>
  <c r="D142" i="1" s="1"/>
  <c r="E142" i="1" s="1"/>
  <c r="C127" i="1"/>
  <c r="D127" i="1" s="1"/>
  <c r="E127" i="1" s="1"/>
  <c r="C83" i="1"/>
  <c r="D83" i="1" s="1"/>
  <c r="E83" i="1" s="1"/>
  <c r="C68" i="1"/>
  <c r="D68" i="1" s="1"/>
  <c r="E68" i="1" s="1"/>
  <c r="C53" i="1"/>
  <c r="D53" i="1" s="1"/>
  <c r="E53" i="1" s="1"/>
  <c r="C38" i="1"/>
  <c r="D38" i="1" s="1"/>
  <c r="E38" i="1" s="1"/>
  <c r="C23" i="1"/>
  <c r="D23" i="1" s="1"/>
  <c r="E23" i="1" s="1"/>
  <c r="C7" i="1"/>
  <c r="D7" i="1" s="1"/>
  <c r="E7" i="1" s="1"/>
  <c r="C333" i="1"/>
  <c r="D333" i="1" s="1"/>
  <c r="E333" i="1" s="1"/>
  <c r="C317" i="1"/>
  <c r="D317" i="1" s="1"/>
  <c r="E317" i="1" s="1"/>
  <c r="C303" i="1"/>
  <c r="D303" i="1" s="1"/>
  <c r="E303" i="1" s="1"/>
  <c r="C274" i="1"/>
  <c r="D274" i="1" s="1"/>
  <c r="E274" i="1" s="1"/>
  <c r="C259" i="1"/>
  <c r="D259" i="1" s="1"/>
  <c r="E259" i="1" s="1"/>
  <c r="C243" i="1"/>
  <c r="D243" i="1" s="1"/>
  <c r="E243" i="1" s="1"/>
  <c r="C227" i="1"/>
  <c r="D227" i="1" s="1"/>
  <c r="E227" i="1" s="1"/>
  <c r="C213" i="1"/>
  <c r="D213" i="1" s="1"/>
  <c r="E213" i="1" s="1"/>
  <c r="C201" i="1"/>
  <c r="D201" i="1" s="1"/>
  <c r="E201" i="1" s="1"/>
  <c r="C186" i="1"/>
  <c r="D186" i="1" s="1"/>
  <c r="E186" i="1" s="1"/>
  <c r="C171" i="1"/>
  <c r="D171" i="1" s="1"/>
  <c r="E171" i="1" s="1"/>
  <c r="C126" i="1"/>
  <c r="D126" i="1" s="1"/>
  <c r="E126" i="1" s="1"/>
  <c r="C111" i="1"/>
  <c r="D111" i="1" s="1"/>
  <c r="E111" i="1" s="1"/>
  <c r="C82" i="1"/>
  <c r="D82" i="1" s="1"/>
  <c r="E82" i="1" s="1"/>
  <c r="C67" i="1"/>
  <c r="D67" i="1" s="1"/>
  <c r="E67" i="1" s="1"/>
  <c r="C37" i="1"/>
  <c r="D37" i="1" s="1"/>
  <c r="E37" i="1" s="1"/>
  <c r="C22" i="1"/>
  <c r="D22" i="1" s="1"/>
  <c r="E22" i="1" s="1"/>
  <c r="C6" i="1"/>
  <c r="D6" i="1" s="1"/>
  <c r="E6" i="1" s="1"/>
  <c r="C645" i="1"/>
  <c r="D645" i="1" s="1"/>
  <c r="E645" i="1" s="1"/>
  <c r="C632" i="1"/>
  <c r="D632" i="1" s="1"/>
  <c r="E632" i="1" s="1"/>
  <c r="C617" i="1"/>
  <c r="D617" i="1" s="1"/>
  <c r="E617" i="1" s="1"/>
  <c r="C603" i="1"/>
  <c r="D603" i="1" s="1"/>
  <c r="E603" i="1" s="1"/>
  <c r="C589" i="1"/>
  <c r="D589" i="1" s="1"/>
  <c r="E589" i="1" s="1"/>
  <c r="C546" i="1"/>
  <c r="D546" i="1" s="1"/>
  <c r="E546" i="1" s="1"/>
  <c r="C531" i="1"/>
  <c r="D531" i="1" s="1"/>
  <c r="E531" i="1" s="1"/>
  <c r="C516" i="1"/>
  <c r="D516" i="1" s="1"/>
  <c r="E516" i="1" s="1"/>
  <c r="C474" i="1"/>
  <c r="D474" i="1" s="1"/>
  <c r="E474" i="1" s="1"/>
  <c r="C447" i="1"/>
  <c r="D447" i="1" s="1"/>
  <c r="E447" i="1" s="1"/>
  <c r="C421" i="1"/>
  <c r="D421" i="1" s="1"/>
  <c r="E421" i="1" s="1"/>
  <c r="C406" i="1"/>
  <c r="D406" i="1" s="1"/>
  <c r="E406" i="1" s="1"/>
  <c r="C378" i="1"/>
  <c r="D378" i="1" s="1"/>
  <c r="E378" i="1" s="1"/>
  <c r="C363" i="1"/>
  <c r="D363" i="1" s="1"/>
  <c r="E363" i="1" s="1"/>
  <c r="C348" i="1"/>
  <c r="D348" i="1" s="1"/>
  <c r="E348" i="1" s="1"/>
  <c r="C332" i="1"/>
  <c r="D332" i="1" s="1"/>
  <c r="E332" i="1" s="1"/>
  <c r="C316" i="1"/>
  <c r="D316" i="1" s="1"/>
  <c r="E316" i="1" s="1"/>
  <c r="C302" i="1"/>
  <c r="D302" i="1" s="1"/>
  <c r="E302" i="1" s="1"/>
  <c r="C287" i="1"/>
  <c r="D287" i="1" s="1"/>
  <c r="E287" i="1" s="1"/>
  <c r="C258" i="1"/>
  <c r="D258" i="1" s="1"/>
  <c r="E258" i="1" s="1"/>
  <c r="C242" i="1"/>
  <c r="D242" i="1" s="1"/>
  <c r="E242" i="1" s="1"/>
  <c r="C226" i="1"/>
  <c r="D226" i="1" s="1"/>
  <c r="E226" i="1" s="1"/>
  <c r="C212" i="1"/>
  <c r="D212" i="1" s="1"/>
  <c r="E212" i="1" s="1"/>
  <c r="C200" i="1"/>
  <c r="D200" i="1" s="1"/>
  <c r="E200" i="1" s="1"/>
  <c r="C185" i="1"/>
  <c r="D185" i="1" s="1"/>
  <c r="E185" i="1" s="1"/>
  <c r="C170" i="1"/>
  <c r="D170" i="1" s="1"/>
  <c r="E170" i="1" s="1"/>
  <c r="C156" i="1"/>
  <c r="D156" i="1" s="1"/>
  <c r="E156" i="1" s="1"/>
  <c r="C141" i="1"/>
  <c r="D141" i="1" s="1"/>
  <c r="E141" i="1" s="1"/>
  <c r="C125" i="1"/>
  <c r="D125" i="1" s="1"/>
  <c r="E125" i="1" s="1"/>
  <c r="C110" i="1"/>
  <c r="D110" i="1" s="1"/>
  <c r="E110" i="1" s="1"/>
  <c r="C95" i="1"/>
  <c r="D95" i="1" s="1"/>
  <c r="E95" i="1" s="1"/>
  <c r="C66" i="1"/>
  <c r="D66" i="1" s="1"/>
  <c r="E66" i="1" s="1"/>
  <c r="C52" i="1"/>
  <c r="D52" i="1" s="1"/>
  <c r="E52" i="1" s="1"/>
  <c r="C36" i="1"/>
  <c r="D36" i="1" s="1"/>
  <c r="E36" i="1" s="1"/>
  <c r="C21" i="1"/>
  <c r="D21" i="1" s="1"/>
  <c r="E21" i="1" s="1"/>
  <c r="C3" i="1"/>
  <c r="D3" i="1" s="1"/>
  <c r="E3" i="1" s="1"/>
  <c r="C2" i="1"/>
  <c r="D2" i="1" s="1"/>
  <c r="C4" i="1"/>
  <c r="D4" i="1" s="1"/>
  <c r="E4" i="1" s="1"/>
  <c r="O8" i="1" a="1"/>
  <c r="O10" i="1" a="1"/>
  <c r="O26" i="1" a="1"/>
  <c r="O17" i="1" a="1"/>
  <c r="O32" i="1" a="1"/>
  <c r="O23" i="1" a="1"/>
  <c r="O19" i="1" a="1"/>
  <c r="O5" i="1" a="1"/>
  <c r="O20" i="1" a="1"/>
  <c r="O27" i="1" a="1"/>
  <c r="O12" i="1" a="1"/>
  <c r="O25" i="1" a="1"/>
  <c r="O24" i="1" a="1"/>
  <c r="O13" i="1" a="1"/>
  <c r="O31" i="1" a="1"/>
  <c r="O16" i="1" a="1"/>
  <c r="O9" i="1" a="1"/>
  <c r="O33" i="1" a="1"/>
  <c r="O28" i="1" a="1"/>
  <c r="O11" i="1" a="1"/>
  <c r="O4" i="1" a="1"/>
  <c r="O30" i="1" a="1"/>
  <c r="O29" i="1" a="1"/>
  <c r="O22" i="1" a="1"/>
  <c r="O6" i="1" a="1"/>
  <c r="O7" i="1" a="1"/>
  <c r="O15" i="1" a="1"/>
  <c r="O14" i="1" a="1"/>
  <c r="O3" i="1" a="1"/>
  <c r="O21" i="1" a="1"/>
  <c r="O18" i="1" a="1"/>
  <c r="G999" i="1" l="1" a="1"/>
  <c r="G999" i="1" s="1"/>
  <c r="G1015" i="1" a="1"/>
  <c r="G1015" i="1" s="1"/>
  <c r="G1006" i="1" a="1"/>
  <c r="G1006" i="1" s="1"/>
  <c r="G1022" i="1" a="1"/>
  <c r="G1022" i="1" s="1"/>
  <c r="G997" i="1" a="1"/>
  <c r="G997" i="1" s="1"/>
  <c r="G1013" i="1" a="1"/>
  <c r="G1013" i="1" s="1"/>
  <c r="G995" i="1" a="1"/>
  <c r="G995" i="1" s="1"/>
  <c r="G1011" i="1" a="1"/>
  <c r="G1011" i="1" s="1"/>
  <c r="G1002" i="1" a="1"/>
  <c r="G1002" i="1" s="1"/>
  <c r="G1018" i="1" a="1"/>
  <c r="G1018" i="1" s="1"/>
  <c r="G1009" i="1" a="1"/>
  <c r="G1009" i="1" s="1"/>
  <c r="G1025" i="1" a="1"/>
  <c r="G1025" i="1" s="1"/>
  <c r="G1007" i="1" a="1"/>
  <c r="G1007" i="1" s="1"/>
  <c r="G1023" i="1" a="1"/>
  <c r="G1023" i="1" s="1"/>
  <c r="G998" i="1" a="1"/>
  <c r="G998" i="1" s="1"/>
  <c r="G1014" i="1" a="1"/>
  <c r="G1014" i="1" s="1"/>
  <c r="G1005" i="1" a="1"/>
  <c r="G1005" i="1" s="1"/>
  <c r="G1021" i="1" a="1"/>
  <c r="G1021" i="1" s="1"/>
  <c r="G996" i="1" a="1"/>
  <c r="G996" i="1" s="1"/>
  <c r="G994" i="1" a="1"/>
  <c r="G994" i="1" s="1"/>
  <c r="G1010" i="1" a="1"/>
  <c r="G1010" i="1" s="1"/>
  <c r="G1001" i="1" a="1"/>
  <c r="G1001" i="1" s="1"/>
  <c r="G1017" i="1" a="1"/>
  <c r="G1017" i="1" s="1"/>
  <c r="G1004" i="1" a="1"/>
  <c r="G1004" i="1" s="1"/>
  <c r="G1020" i="1" a="1"/>
  <c r="G1020" i="1" s="1"/>
  <c r="G1024" i="1" a="1"/>
  <c r="G1024" i="1" s="1"/>
  <c r="G1019" i="1" a="1"/>
  <c r="G1019" i="1" s="1"/>
  <c r="G1008" i="1" a="1"/>
  <c r="G1008" i="1" s="1"/>
  <c r="G1016" i="1" a="1"/>
  <c r="G1016" i="1" s="1"/>
  <c r="G1000" i="1" a="1"/>
  <c r="G1000" i="1" s="1"/>
  <c r="G1012" i="1" a="1"/>
  <c r="G1012" i="1" s="1"/>
  <c r="G1003" i="1" a="1"/>
  <c r="G1003" i="1" s="1"/>
  <c r="F3" i="1" a="1"/>
  <c r="F3" i="1" s="1"/>
  <c r="F19" i="1" a="1"/>
  <c r="F19" i="1" s="1"/>
  <c r="F10" i="1" a="1"/>
  <c r="F10" i="1" s="1"/>
  <c r="F26" i="1" a="1"/>
  <c r="F26" i="1" s="1"/>
  <c r="F17" i="1" a="1"/>
  <c r="F17" i="1" s="1"/>
  <c r="F33" i="1" a="1"/>
  <c r="F33" i="1" s="1"/>
  <c r="F8" i="1" a="1"/>
  <c r="F8" i="1" s="1"/>
  <c r="F24" i="1" a="1"/>
  <c r="F24" i="1" s="1"/>
  <c r="F15" i="1" a="1"/>
  <c r="F15" i="1" s="1"/>
  <c r="F31" i="1" a="1"/>
  <c r="F31" i="1" s="1"/>
  <c r="F6" i="1" a="1"/>
  <c r="F6" i="1" s="1"/>
  <c r="F22" i="1" a="1"/>
  <c r="F22" i="1" s="1"/>
  <c r="F13" i="1" a="1"/>
  <c r="F13" i="1" s="1"/>
  <c r="F29" i="1" a="1"/>
  <c r="F29" i="1" s="1"/>
  <c r="F4" i="1" a="1"/>
  <c r="F4" i="1" s="1"/>
  <c r="F20" i="1" a="1"/>
  <c r="F20" i="1" s="1"/>
  <c r="F11" i="1" a="1"/>
  <c r="F11" i="1" s="1"/>
  <c r="F27" i="1" a="1"/>
  <c r="F27" i="1" s="1"/>
  <c r="F18" i="1" a="1"/>
  <c r="F18" i="1" s="1"/>
  <c r="F9" i="1" a="1"/>
  <c r="F9" i="1" s="1"/>
  <c r="F25" i="1" a="1"/>
  <c r="F25" i="1" s="1"/>
  <c r="F16" i="1" a="1"/>
  <c r="F16" i="1" s="1"/>
  <c r="F32" i="1" a="1"/>
  <c r="F32" i="1" s="1"/>
  <c r="F7" i="1" a="1"/>
  <c r="F7" i="1" s="1"/>
  <c r="F14" i="1" a="1"/>
  <c r="F14" i="1" s="1"/>
  <c r="F30" i="1" a="1"/>
  <c r="F30" i="1" s="1"/>
  <c r="F5" i="1" a="1"/>
  <c r="F5" i="1" s="1"/>
  <c r="F21" i="1" a="1"/>
  <c r="F21" i="1" s="1"/>
  <c r="F28" i="1" a="1"/>
  <c r="F28" i="1" s="1"/>
  <c r="F12" i="1" a="1"/>
  <c r="F12" i="1" s="1"/>
  <c r="F23" i="1" a="1"/>
  <c r="F23" i="1" s="1"/>
  <c r="F2" i="1" a="1"/>
  <c r="F2" i="1" s="1"/>
  <c r="O10" i="1"/>
  <c r="O7" i="1"/>
  <c r="O18" i="1"/>
  <c r="O19" i="1"/>
  <c r="O6" i="1"/>
  <c r="O14" i="1"/>
  <c r="O22" i="1"/>
  <c r="O33" i="1"/>
  <c r="O9" i="1"/>
  <c r="O16" i="1"/>
  <c r="O31" i="1"/>
  <c r="O25" i="1"/>
  <c r="O12" i="1"/>
  <c r="O17" i="1"/>
  <c r="O20" i="1"/>
  <c r="O26" i="1"/>
  <c r="O8" i="1"/>
  <c r="O24" i="1"/>
  <c r="O30" i="1"/>
  <c r="O21" i="1"/>
  <c r="O3" i="1"/>
  <c r="O15" i="1"/>
  <c r="O29" i="1"/>
  <c r="O4" i="1"/>
  <c r="O11" i="1"/>
  <c r="O28" i="1"/>
  <c r="O13" i="1"/>
  <c r="O23" i="1"/>
  <c r="O32" i="1"/>
  <c r="O27" i="1"/>
  <c r="O5" i="1"/>
  <c r="G930" i="1" l="1" a="1"/>
  <c r="G930" i="1" s="1"/>
  <c r="G942" i="1" a="1"/>
  <c r="G942" i="1" s="1"/>
  <c r="G951" i="1" a="1"/>
  <c r="G951" i="1" s="1"/>
  <c r="F965" i="1" a="1"/>
  <c r="F965" i="1" s="1"/>
  <c r="F981" i="1" a="1"/>
  <c r="F981" i="1" s="1"/>
  <c r="G939" i="1" a="1"/>
  <c r="G939" i="1" s="1"/>
  <c r="G958" i="1" a="1"/>
  <c r="G958" i="1" s="1"/>
  <c r="F972" i="1" a="1"/>
  <c r="F972" i="1" s="1"/>
  <c r="F988" i="1" a="1"/>
  <c r="F988" i="1" s="1"/>
  <c r="G934" i="1" a="1"/>
  <c r="G934" i="1" s="1"/>
  <c r="G949" i="1" a="1"/>
  <c r="G949" i="1" s="1"/>
  <c r="F963" i="1" a="1"/>
  <c r="F963" i="1" s="1"/>
  <c r="F979" i="1" a="1"/>
  <c r="F979" i="1" s="1"/>
  <c r="G956" i="1" a="1"/>
  <c r="G956" i="1" s="1"/>
  <c r="F970" i="1" a="1"/>
  <c r="F970" i="1" s="1"/>
  <c r="F986" i="1" a="1"/>
  <c r="F986" i="1" s="1"/>
  <c r="G937" i="1" a="1"/>
  <c r="G937" i="1" s="1"/>
  <c r="G947" i="1" a="1"/>
  <c r="G947" i="1" s="1"/>
  <c r="F977" i="1" a="1"/>
  <c r="F977" i="1" s="1"/>
  <c r="F993" i="1" a="1"/>
  <c r="F993" i="1" s="1"/>
  <c r="G954" i="1" a="1"/>
  <c r="G954" i="1" s="1"/>
  <c r="F968" i="1" a="1"/>
  <c r="F968" i="1" s="1"/>
  <c r="F984" i="1" a="1"/>
  <c r="F984" i="1" s="1"/>
  <c r="G932" i="1" a="1"/>
  <c r="G932" i="1" s="1"/>
  <c r="G940" i="1" a="1"/>
  <c r="G940" i="1" s="1"/>
  <c r="G945" i="1" a="1"/>
  <c r="G945" i="1" s="1"/>
  <c r="G961" i="1" a="1"/>
  <c r="G961" i="1" s="1"/>
  <c r="F975" i="1" a="1"/>
  <c r="F975" i="1" s="1"/>
  <c r="F991" i="1" a="1"/>
  <c r="F991" i="1" s="1"/>
  <c r="G952" i="1" a="1"/>
  <c r="G952" i="1" s="1"/>
  <c r="F966" i="1" a="1"/>
  <c r="F966" i="1" s="1"/>
  <c r="F982" i="1" a="1"/>
  <c r="F982" i="1" s="1"/>
  <c r="G935" i="1" a="1"/>
  <c r="G935" i="1" s="1"/>
  <c r="G959" i="1" a="1"/>
  <c r="G959" i="1" s="1"/>
  <c r="F973" i="1" a="1"/>
  <c r="F973" i="1" s="1"/>
  <c r="F989" i="1" a="1"/>
  <c r="F989" i="1" s="1"/>
  <c r="G943" i="1" a="1"/>
  <c r="G943" i="1" s="1"/>
  <c r="G950" i="1" a="1"/>
  <c r="G950" i="1" s="1"/>
  <c r="F964" i="1" a="1"/>
  <c r="F964" i="1" s="1"/>
  <c r="F980" i="1" a="1"/>
  <c r="F980" i="1" s="1"/>
  <c r="G938" i="1" a="1"/>
  <c r="G938" i="1" s="1"/>
  <c r="G957" i="1" a="1"/>
  <c r="G957" i="1" s="1"/>
  <c r="F971" i="1" a="1"/>
  <c r="F971" i="1" s="1"/>
  <c r="F987" i="1" a="1"/>
  <c r="F987" i="1" s="1"/>
  <c r="G933" i="1" a="1"/>
  <c r="G933" i="1" s="1"/>
  <c r="G948" i="1" a="1"/>
  <c r="G948" i="1" s="1"/>
  <c r="F962" i="1" a="1"/>
  <c r="F962" i="1" s="1"/>
  <c r="F978" i="1" a="1"/>
  <c r="F978" i="1" s="1"/>
  <c r="G955" i="1" a="1"/>
  <c r="G955" i="1" s="1"/>
  <c r="F969" i="1" a="1"/>
  <c r="F969" i="1" s="1"/>
  <c r="G941" i="1" a="1"/>
  <c r="G941" i="1" s="1"/>
  <c r="G946" i="1" a="1"/>
  <c r="G946" i="1" s="1"/>
  <c r="F976" i="1" a="1"/>
  <c r="F976" i="1" s="1"/>
  <c r="F992" i="1" a="1"/>
  <c r="F992" i="1" s="1"/>
  <c r="G936" i="1" a="1"/>
  <c r="G936" i="1" s="1"/>
  <c r="G953" i="1" a="1"/>
  <c r="G953" i="1" s="1"/>
  <c r="F967" i="1" a="1"/>
  <c r="F967" i="1" s="1"/>
  <c r="F983" i="1" a="1"/>
  <c r="F983" i="1" s="1"/>
  <c r="G960" i="1" a="1"/>
  <c r="G960" i="1" s="1"/>
  <c r="F985" i="1" a="1"/>
  <c r="F985" i="1" s="1"/>
  <c r="G931" i="1" a="1"/>
  <c r="G931" i="1" s="1"/>
  <c r="F990" i="1" a="1"/>
  <c r="F990" i="1" s="1"/>
  <c r="F974" i="1" a="1"/>
  <c r="F974" i="1" s="1"/>
  <c r="G944" i="1" a="1"/>
  <c r="G944" i="1" s="1"/>
  <c r="G738" i="1" a="1"/>
  <c r="G738" i="1" s="1"/>
  <c r="G754" i="1" a="1"/>
  <c r="G754" i="1" s="1"/>
  <c r="F784" i="1" a="1"/>
  <c r="F784" i="1" s="1"/>
  <c r="F800" i="1" a="1"/>
  <c r="F800" i="1" s="1"/>
  <c r="G747" i="1" a="1"/>
  <c r="G747" i="1" s="1"/>
  <c r="G761" i="1" a="1"/>
  <c r="G761" i="1" s="1"/>
  <c r="F775" i="1" a="1"/>
  <c r="F775" i="1" s="1"/>
  <c r="F791" i="1" a="1"/>
  <c r="F791" i="1" s="1"/>
  <c r="G742" i="1" a="1"/>
  <c r="G742" i="1" s="1"/>
  <c r="G752" i="1" a="1"/>
  <c r="G752" i="1" s="1"/>
  <c r="G768" i="1" a="1"/>
  <c r="G768" i="1" s="1"/>
  <c r="F782" i="1" a="1"/>
  <c r="F782" i="1" s="1"/>
  <c r="F798" i="1" a="1"/>
  <c r="F798" i="1" s="1"/>
  <c r="G745" i="1" a="1"/>
  <c r="G745" i="1" s="1"/>
  <c r="G750" i="1" a="1"/>
  <c r="G750" i="1" s="1"/>
  <c r="G766" i="1" a="1"/>
  <c r="G766" i="1" s="1"/>
  <c r="F780" i="1" a="1"/>
  <c r="F780" i="1" s="1"/>
  <c r="F796" i="1" a="1"/>
  <c r="F796" i="1" s="1"/>
  <c r="G757" i="1" a="1"/>
  <c r="G757" i="1" s="1"/>
  <c r="F771" i="1" a="1"/>
  <c r="F771" i="1" s="1"/>
  <c r="F787" i="1" a="1"/>
  <c r="F787" i="1" s="1"/>
  <c r="G740" i="1" a="1"/>
  <c r="G740" i="1" s="1"/>
  <c r="G764" i="1" a="1"/>
  <c r="G764" i="1" s="1"/>
  <c r="F778" i="1" a="1"/>
  <c r="F778" i="1" s="1"/>
  <c r="F794" i="1" a="1"/>
  <c r="F794" i="1" s="1"/>
  <c r="G748" i="1" a="1"/>
  <c r="G748" i="1" s="1"/>
  <c r="G755" i="1" a="1"/>
  <c r="G755" i="1" s="1"/>
  <c r="F785" i="1" a="1"/>
  <c r="F785" i="1" s="1"/>
  <c r="F801" i="1" a="1"/>
  <c r="F801" i="1" s="1"/>
  <c r="G743" i="1" a="1"/>
  <c r="G743" i="1" s="1"/>
  <c r="G762" i="1" a="1"/>
  <c r="G762" i="1" s="1"/>
  <c r="F776" i="1" a="1"/>
  <c r="F776" i="1" s="1"/>
  <c r="F792" i="1" a="1"/>
  <c r="F792" i="1" s="1"/>
  <c r="G753" i="1" a="1"/>
  <c r="G753" i="1" s="1"/>
  <c r="G769" i="1" a="1"/>
  <c r="G769" i="1" s="1"/>
  <c r="F783" i="1" a="1"/>
  <c r="F783" i="1" s="1"/>
  <c r="F799" i="1" a="1"/>
  <c r="F799" i="1" s="1"/>
  <c r="G746" i="1" a="1"/>
  <c r="G746" i="1" s="1"/>
  <c r="G760" i="1" a="1"/>
  <c r="G760" i="1" s="1"/>
  <c r="F774" i="1" a="1"/>
  <c r="F774" i="1" s="1"/>
  <c r="F790" i="1" a="1"/>
  <c r="F790" i="1" s="1"/>
  <c r="G751" i="1" a="1"/>
  <c r="G751" i="1" s="1"/>
  <c r="G767" i="1" a="1"/>
  <c r="G767" i="1" s="1"/>
  <c r="F781" i="1" a="1"/>
  <c r="F781" i="1" s="1"/>
  <c r="F797" i="1" a="1"/>
  <c r="F797" i="1" s="1"/>
  <c r="G765" i="1" a="1"/>
  <c r="G765" i="1" s="1"/>
  <c r="F779" i="1" a="1"/>
  <c r="F779" i="1" s="1"/>
  <c r="F795" i="1" a="1"/>
  <c r="F795" i="1" s="1"/>
  <c r="G744" i="1" a="1"/>
  <c r="G744" i="1" s="1"/>
  <c r="G749" i="1" a="1"/>
  <c r="G749" i="1" s="1"/>
  <c r="G756" i="1" a="1"/>
  <c r="G756" i="1" s="1"/>
  <c r="F770" i="1" a="1"/>
  <c r="F770" i="1" s="1"/>
  <c r="F786" i="1" a="1"/>
  <c r="F786" i="1" s="1"/>
  <c r="G759" i="1" a="1"/>
  <c r="G759" i="1" s="1"/>
  <c r="F772" i="1" a="1"/>
  <c r="F772" i="1" s="1"/>
  <c r="F773" i="1" a="1"/>
  <c r="F773" i="1" s="1"/>
  <c r="G763" i="1" a="1"/>
  <c r="G763" i="1" s="1"/>
  <c r="F788" i="1" a="1"/>
  <c r="F788" i="1" s="1"/>
  <c r="G739" i="1" a="1"/>
  <c r="G739" i="1" s="1"/>
  <c r="F777" i="1" a="1"/>
  <c r="F777" i="1" s="1"/>
  <c r="F789" i="1" a="1"/>
  <c r="F789" i="1" s="1"/>
  <c r="G741" i="1" a="1"/>
  <c r="G741" i="1" s="1"/>
  <c r="F793" i="1" a="1"/>
  <c r="F793" i="1" s="1"/>
  <c r="G758" i="1" a="1"/>
  <c r="G758" i="1" s="1"/>
  <c r="G69" i="1" a="1"/>
  <c r="G69" i="1" s="1"/>
  <c r="G85" i="1" a="1"/>
  <c r="G85" i="1" s="1"/>
  <c r="F99" i="1" a="1"/>
  <c r="F99" i="1" s="1"/>
  <c r="F115" i="1" a="1"/>
  <c r="F115" i="1" s="1"/>
  <c r="G76" i="1" a="1"/>
  <c r="G76" i="1" s="1"/>
  <c r="G92" i="1" a="1"/>
  <c r="G92" i="1" s="1"/>
  <c r="F106" i="1" a="1"/>
  <c r="F106" i="1" s="1"/>
  <c r="F122" i="1" a="1"/>
  <c r="F122" i="1" s="1"/>
  <c r="G67" i="1" a="1"/>
  <c r="G67" i="1" s="1"/>
  <c r="G83" i="1" a="1"/>
  <c r="G83" i="1" s="1"/>
  <c r="F113" i="1" a="1"/>
  <c r="F113" i="1" s="1"/>
  <c r="F129" i="1" a="1"/>
  <c r="F129" i="1" s="1"/>
  <c r="G74" i="1" a="1"/>
  <c r="G74" i="1" s="1"/>
  <c r="G90" i="1" a="1"/>
  <c r="G90" i="1" s="1"/>
  <c r="F104" i="1" a="1"/>
  <c r="F104" i="1" s="1"/>
  <c r="F120" i="1" a="1"/>
  <c r="F120" i="1" s="1"/>
  <c r="G81" i="1" a="1"/>
  <c r="G81" i="1" s="1"/>
  <c r="G97" i="1" a="1"/>
  <c r="G97" i="1" s="1"/>
  <c r="F111" i="1" a="1"/>
  <c r="F111" i="1" s="1"/>
  <c r="F127" i="1" a="1"/>
  <c r="F127" i="1" s="1"/>
  <c r="G72" i="1" a="1"/>
  <c r="G72" i="1" s="1"/>
  <c r="G88" i="1" a="1"/>
  <c r="G88" i="1" s="1"/>
  <c r="F102" i="1" a="1"/>
  <c r="F102" i="1" s="1"/>
  <c r="F118" i="1" a="1"/>
  <c r="F118" i="1" s="1"/>
  <c r="G79" i="1" a="1"/>
  <c r="G79" i="1" s="1"/>
  <c r="G95" i="1" a="1"/>
  <c r="G95" i="1" s="1"/>
  <c r="F109" i="1" a="1"/>
  <c r="F109" i="1" s="1"/>
  <c r="F125" i="1" a="1"/>
  <c r="F125" i="1" s="1"/>
  <c r="G70" i="1" a="1"/>
  <c r="G70" i="1" s="1"/>
  <c r="G86" i="1" a="1"/>
  <c r="G86" i="1" s="1"/>
  <c r="F100" i="1" a="1"/>
  <c r="F100" i="1" s="1"/>
  <c r="F116" i="1" a="1"/>
  <c r="F116" i="1" s="1"/>
  <c r="G77" i="1" a="1"/>
  <c r="G77" i="1" s="1"/>
  <c r="G93" i="1" a="1"/>
  <c r="G93" i="1" s="1"/>
  <c r="F107" i="1" a="1"/>
  <c r="F107" i="1" s="1"/>
  <c r="F123" i="1" a="1"/>
  <c r="F123" i="1" s="1"/>
  <c r="G68" i="1" a="1"/>
  <c r="G68" i="1" s="1"/>
  <c r="G84" i="1" a="1"/>
  <c r="G84" i="1" s="1"/>
  <c r="F98" i="1" a="1"/>
  <c r="F98" i="1" s="1"/>
  <c r="F114" i="1" a="1"/>
  <c r="F114" i="1" s="1"/>
  <c r="G75" i="1" a="1"/>
  <c r="G75" i="1" s="1"/>
  <c r="G91" i="1" a="1"/>
  <c r="G91" i="1" s="1"/>
  <c r="F105" i="1" a="1"/>
  <c r="F105" i="1" s="1"/>
  <c r="F121" i="1" a="1"/>
  <c r="F121" i="1" s="1"/>
  <c r="G66" i="1" a="1"/>
  <c r="G66" i="1" s="1"/>
  <c r="G82" i="1" a="1"/>
  <c r="G82" i="1" s="1"/>
  <c r="F112" i="1" a="1"/>
  <c r="F112" i="1" s="1"/>
  <c r="G80" i="1" a="1"/>
  <c r="G80" i="1" s="1"/>
  <c r="G96" i="1" a="1"/>
  <c r="G96" i="1" s="1"/>
  <c r="F110" i="1" a="1"/>
  <c r="F110" i="1" s="1"/>
  <c r="F126" i="1" a="1"/>
  <c r="F126" i="1" s="1"/>
  <c r="G71" i="1" a="1"/>
  <c r="G71" i="1" s="1"/>
  <c r="G87" i="1" a="1"/>
  <c r="G87" i="1" s="1"/>
  <c r="F101" i="1" a="1"/>
  <c r="F101" i="1" s="1"/>
  <c r="F117" i="1" a="1"/>
  <c r="F117" i="1" s="1"/>
  <c r="F119" i="1" a="1"/>
  <c r="F119" i="1" s="1"/>
  <c r="F103" i="1" a="1"/>
  <c r="F103" i="1" s="1"/>
  <c r="G89" i="1" a="1"/>
  <c r="G89" i="1" s="1"/>
  <c r="F108" i="1" a="1"/>
  <c r="F108" i="1" s="1"/>
  <c r="G73" i="1" a="1"/>
  <c r="G73" i="1" s="1"/>
  <c r="F124" i="1" a="1"/>
  <c r="F124" i="1" s="1"/>
  <c r="G94" i="1" a="1"/>
  <c r="G94" i="1" s="1"/>
  <c r="G78" i="1" a="1"/>
  <c r="G78" i="1" s="1"/>
  <c r="F128" i="1" a="1"/>
  <c r="F128" i="1" s="1"/>
  <c r="G290" i="1" a="1"/>
  <c r="G290" i="1" s="1"/>
  <c r="G306" i="1" a="1"/>
  <c r="G306" i="1" s="1"/>
  <c r="F336" i="1" a="1"/>
  <c r="F336" i="1" s="1"/>
  <c r="G295" i="1" a="1"/>
  <c r="G295" i="1" s="1"/>
  <c r="G311" i="1" a="1"/>
  <c r="G311" i="1" s="1"/>
  <c r="F325" i="1" a="1"/>
  <c r="F325" i="1" s="1"/>
  <c r="F341" i="1" a="1"/>
  <c r="F341" i="1" s="1"/>
  <c r="G302" i="1" a="1"/>
  <c r="G302" i="1" s="1"/>
  <c r="G318" i="1" a="1"/>
  <c r="G318" i="1" s="1"/>
  <c r="F332" i="1" a="1"/>
  <c r="F332" i="1" s="1"/>
  <c r="G300" i="1" a="1"/>
  <c r="G300" i="1" s="1"/>
  <c r="G316" i="1" a="1"/>
  <c r="G316" i="1" s="1"/>
  <c r="F330" i="1" a="1"/>
  <c r="F330" i="1" s="1"/>
  <c r="G298" i="1" a="1"/>
  <c r="G298" i="1" s="1"/>
  <c r="G303" i="1" a="1"/>
  <c r="G303" i="1" s="1"/>
  <c r="G315" i="1" a="1"/>
  <c r="G315" i="1" s="1"/>
  <c r="F351" i="1" a="1"/>
  <c r="F351" i="1" s="1"/>
  <c r="F328" i="1" a="1"/>
  <c r="F328" i="1" s="1"/>
  <c r="F342" i="1" a="1"/>
  <c r="F342" i="1" s="1"/>
  <c r="F331" i="1" a="1"/>
  <c r="F331" i="1" s="1"/>
  <c r="F349" i="1" a="1"/>
  <c r="F349" i="1" s="1"/>
  <c r="G297" i="1" a="1"/>
  <c r="G297" i="1" s="1"/>
  <c r="F322" i="1" a="1"/>
  <c r="F322" i="1" s="1"/>
  <c r="F334" i="1" a="1"/>
  <c r="F334" i="1" s="1"/>
  <c r="F337" i="1" a="1"/>
  <c r="F337" i="1" s="1"/>
  <c r="G294" i="1" a="1"/>
  <c r="G294" i="1" s="1"/>
  <c r="G307" i="1" a="1"/>
  <c r="G307" i="1" s="1"/>
  <c r="G319" i="1" a="1"/>
  <c r="G319" i="1" s="1"/>
  <c r="F347" i="1" a="1"/>
  <c r="F347" i="1" s="1"/>
  <c r="G291" i="1" a="1"/>
  <c r="G291" i="1" s="1"/>
  <c r="G310" i="1" a="1"/>
  <c r="G310" i="1" s="1"/>
  <c r="G313" i="1" a="1"/>
  <c r="G313" i="1" s="1"/>
  <c r="F340" i="1" a="1"/>
  <c r="F340" i="1" s="1"/>
  <c r="G301" i="1" a="1"/>
  <c r="G301" i="1" s="1"/>
  <c r="G304" i="1" a="1"/>
  <c r="G304" i="1" s="1"/>
  <c r="F345" i="1" a="1"/>
  <c r="F345" i="1" s="1"/>
  <c r="F323" i="1" a="1"/>
  <c r="F323" i="1" s="1"/>
  <c r="F326" i="1" a="1"/>
  <c r="F326" i="1" s="1"/>
  <c r="F352" i="1" a="1"/>
  <c r="F352" i="1" s="1"/>
  <c r="F329" i="1" a="1"/>
  <c r="F329" i="1" s="1"/>
  <c r="F335" i="1" a="1"/>
  <c r="F335" i="1" s="1"/>
  <c r="F343" i="1" a="1"/>
  <c r="F343" i="1" s="1"/>
  <c r="G314" i="1" a="1"/>
  <c r="G314" i="1" s="1"/>
  <c r="F350" i="1" a="1"/>
  <c r="F350" i="1" s="1"/>
  <c r="G305" i="1" a="1"/>
  <c r="G305" i="1" s="1"/>
  <c r="G317" i="1" a="1"/>
  <c r="G317" i="1" s="1"/>
  <c r="G320" i="1" a="1"/>
  <c r="G320" i="1" s="1"/>
  <c r="F338" i="1" a="1"/>
  <c r="F338" i="1" s="1"/>
  <c r="G292" i="1" a="1"/>
  <c r="G292" i="1" s="1"/>
  <c r="G296" i="1" a="1"/>
  <c r="G296" i="1" s="1"/>
  <c r="G299" i="1" a="1"/>
  <c r="G299" i="1" s="1"/>
  <c r="F324" i="1" a="1"/>
  <c r="F324" i="1" s="1"/>
  <c r="F327" i="1" a="1"/>
  <c r="F327" i="1" s="1"/>
  <c r="F333" i="1" a="1"/>
  <c r="F333" i="1" s="1"/>
  <c r="F346" i="1" a="1"/>
  <c r="F346" i="1" s="1"/>
  <c r="G321" i="1" a="1"/>
  <c r="G321" i="1" s="1"/>
  <c r="F339" i="1" a="1"/>
  <c r="F339" i="1" s="1"/>
  <c r="F353" i="1" a="1"/>
  <c r="F353" i="1" s="1"/>
  <c r="G308" i="1" a="1"/>
  <c r="G308" i="1" s="1"/>
  <c r="G309" i="1" a="1"/>
  <c r="G309" i="1" s="1"/>
  <c r="G312" i="1" a="1"/>
  <c r="G312" i="1" s="1"/>
  <c r="F344" i="1" a="1"/>
  <c r="F344" i="1" s="1"/>
  <c r="G293" i="1" a="1"/>
  <c r="G293" i="1" s="1"/>
  <c r="F348" i="1" a="1"/>
  <c r="F348" i="1" s="1"/>
  <c r="G642" i="1" a="1"/>
  <c r="G642" i="1" s="1"/>
  <c r="G658" i="1" a="1"/>
  <c r="G658" i="1" s="1"/>
  <c r="F688" i="1" a="1"/>
  <c r="F688" i="1" s="1"/>
  <c r="F704" i="1" a="1"/>
  <c r="F704" i="1" s="1"/>
  <c r="G649" i="1" a="1"/>
  <c r="G649" i="1" s="1"/>
  <c r="G665" i="1" a="1"/>
  <c r="G665" i="1" s="1"/>
  <c r="F679" i="1" a="1"/>
  <c r="F679" i="1" s="1"/>
  <c r="G647" i="1" a="1"/>
  <c r="G647" i="1" s="1"/>
  <c r="G663" i="1" a="1"/>
  <c r="G663" i="1" s="1"/>
  <c r="F677" i="1" a="1"/>
  <c r="F677" i="1" s="1"/>
  <c r="G654" i="1" a="1"/>
  <c r="G654" i="1" s="1"/>
  <c r="G670" i="1" a="1"/>
  <c r="G670" i="1" s="1"/>
  <c r="F684" i="1" a="1"/>
  <c r="F684" i="1" s="1"/>
  <c r="F700" i="1" a="1"/>
  <c r="F700" i="1" s="1"/>
  <c r="G645" i="1" a="1"/>
  <c r="G645" i="1" s="1"/>
  <c r="G661" i="1" a="1"/>
  <c r="G661" i="1" s="1"/>
  <c r="F675" i="1" a="1"/>
  <c r="F675" i="1" s="1"/>
  <c r="F691" i="1" a="1"/>
  <c r="F691" i="1" s="1"/>
  <c r="G652" i="1" a="1"/>
  <c r="G652" i="1" s="1"/>
  <c r="G668" i="1" a="1"/>
  <c r="G668" i="1" s="1"/>
  <c r="F682" i="1" a="1"/>
  <c r="F682" i="1" s="1"/>
  <c r="F698" i="1" a="1"/>
  <c r="F698" i="1" s="1"/>
  <c r="G643" i="1" a="1"/>
  <c r="G643" i="1" s="1"/>
  <c r="G659" i="1" a="1"/>
  <c r="G659" i="1" s="1"/>
  <c r="G650" i="1" a="1"/>
  <c r="G650" i="1" s="1"/>
  <c r="G666" i="1" a="1"/>
  <c r="G666" i="1" s="1"/>
  <c r="F680" i="1" a="1"/>
  <c r="F680" i="1" s="1"/>
  <c r="F696" i="1" a="1"/>
  <c r="F696" i="1" s="1"/>
  <c r="G657" i="1" a="1"/>
  <c r="G657" i="1" s="1"/>
  <c r="G648" i="1" a="1"/>
  <c r="G648" i="1" s="1"/>
  <c r="G664" i="1" a="1"/>
  <c r="G664" i="1" s="1"/>
  <c r="F678" i="1" a="1"/>
  <c r="F678" i="1" s="1"/>
  <c r="G655" i="1" a="1"/>
  <c r="G655" i="1" s="1"/>
  <c r="G653" i="1" a="1"/>
  <c r="G653" i="1" s="1"/>
  <c r="G644" i="1" a="1"/>
  <c r="G644" i="1" s="1"/>
  <c r="G660" i="1" a="1"/>
  <c r="G660" i="1" s="1"/>
  <c r="G651" i="1" a="1"/>
  <c r="G651" i="1" s="1"/>
  <c r="F674" i="1" a="1"/>
  <c r="F674" i="1" s="1"/>
  <c r="F685" i="1" a="1"/>
  <c r="F685" i="1" s="1"/>
  <c r="F703" i="1" a="1"/>
  <c r="F703" i="1" s="1"/>
  <c r="G662" i="1" a="1"/>
  <c r="G662" i="1" s="1"/>
  <c r="G669" i="1" a="1"/>
  <c r="G669" i="1" s="1"/>
  <c r="F693" i="1" a="1"/>
  <c r="F693" i="1" s="1"/>
  <c r="F690" i="1" a="1"/>
  <c r="F690" i="1" s="1"/>
  <c r="F676" i="1" a="1"/>
  <c r="F676" i="1" s="1"/>
  <c r="F686" i="1" a="1"/>
  <c r="F686" i="1" s="1"/>
  <c r="F694" i="1" a="1"/>
  <c r="F694" i="1" s="1"/>
  <c r="F697" i="1" a="1"/>
  <c r="F697" i="1" s="1"/>
  <c r="G671" i="1" a="1"/>
  <c r="G671" i="1" s="1"/>
  <c r="F681" i="1" a="1"/>
  <c r="F681" i="1" s="1"/>
  <c r="F687" i="1" a="1"/>
  <c r="F687" i="1" s="1"/>
  <c r="F701" i="1" a="1"/>
  <c r="F701" i="1" s="1"/>
  <c r="G656" i="1" a="1"/>
  <c r="G656" i="1" s="1"/>
  <c r="G646" i="1" a="1"/>
  <c r="G646" i="1" s="1"/>
  <c r="F705" i="1" a="1"/>
  <c r="F705" i="1" s="1"/>
  <c r="G672" i="1" a="1"/>
  <c r="G672" i="1" s="1"/>
  <c r="F683" i="1" a="1"/>
  <c r="F683" i="1" s="1"/>
  <c r="F695" i="1" a="1"/>
  <c r="F695" i="1" s="1"/>
  <c r="F702" i="1" a="1"/>
  <c r="F702" i="1" s="1"/>
  <c r="G667" i="1" a="1"/>
  <c r="G667" i="1" s="1"/>
  <c r="F699" i="1" a="1"/>
  <c r="F699" i="1" s="1"/>
  <c r="G673" i="1" a="1"/>
  <c r="G673" i="1" s="1"/>
  <c r="F689" i="1" a="1"/>
  <c r="F689" i="1" s="1"/>
  <c r="F692" i="1" a="1"/>
  <c r="F692" i="1" s="1"/>
  <c r="G433" i="1" a="1"/>
  <c r="G433" i="1" s="1"/>
  <c r="G449" i="1" a="1"/>
  <c r="G449" i="1" s="1"/>
  <c r="F463" i="1" a="1"/>
  <c r="F463" i="1" s="1"/>
  <c r="F479" i="1" a="1"/>
  <c r="F479" i="1" s="1"/>
  <c r="G424" i="1" a="1"/>
  <c r="G424" i="1" s="1"/>
  <c r="G440" i="1" a="1"/>
  <c r="G440" i="1" s="1"/>
  <c r="G431" i="1" a="1"/>
  <c r="G431" i="1" s="1"/>
  <c r="G447" i="1" a="1"/>
  <c r="G447" i="1" s="1"/>
  <c r="G422" i="1" a="1"/>
  <c r="G422" i="1" s="1"/>
  <c r="G438" i="1" a="1"/>
  <c r="G438" i="1" s="1"/>
  <c r="F452" i="1" a="1"/>
  <c r="F452" i="1" s="1"/>
  <c r="F468" i="1" a="1"/>
  <c r="F468" i="1" s="1"/>
  <c r="G429" i="1" a="1"/>
  <c r="G429" i="1" s="1"/>
  <c r="G445" i="1" a="1"/>
  <c r="G445" i="1" s="1"/>
  <c r="F459" i="1" a="1"/>
  <c r="F459" i="1" s="1"/>
  <c r="F475" i="1" a="1"/>
  <c r="F475" i="1" s="1"/>
  <c r="G420" i="1" a="1"/>
  <c r="G420" i="1" s="1"/>
  <c r="G427" i="1" a="1"/>
  <c r="G427" i="1" s="1"/>
  <c r="G443" i="1" a="1"/>
  <c r="G443" i="1" s="1"/>
  <c r="G418" i="1" a="1"/>
  <c r="G418" i="1" s="1"/>
  <c r="G434" i="1" a="1"/>
  <c r="G434" i="1" s="1"/>
  <c r="G425" i="1" a="1"/>
  <c r="G425" i="1" s="1"/>
  <c r="G441" i="1" a="1"/>
  <c r="G441" i="1" s="1"/>
  <c r="G432" i="1" a="1"/>
  <c r="G432" i="1" s="1"/>
  <c r="F470" i="1" a="1"/>
  <c r="F470" i="1" s="1"/>
  <c r="F473" i="1" a="1"/>
  <c r="F473" i="1" s="1"/>
  <c r="G428" i="1" a="1"/>
  <c r="G428" i="1" s="1"/>
  <c r="G439" i="1" a="1"/>
  <c r="G439" i="1" s="1"/>
  <c r="F456" i="1" a="1"/>
  <c r="F456" i="1" s="1"/>
  <c r="G423" i="1" a="1"/>
  <c r="G423" i="1" s="1"/>
  <c r="F462" i="1" a="1"/>
  <c r="F462" i="1" s="1"/>
  <c r="F476" i="1" a="1"/>
  <c r="F476" i="1" s="1"/>
  <c r="F465" i="1" a="1"/>
  <c r="F465" i="1" s="1"/>
  <c r="G430" i="1" a="1"/>
  <c r="G430" i="1" s="1"/>
  <c r="G435" i="1" a="1"/>
  <c r="G435" i="1" s="1"/>
  <c r="F451" i="1" a="1"/>
  <c r="F451" i="1" s="1"/>
  <c r="F454" i="1" a="1"/>
  <c r="F454" i="1" s="1"/>
  <c r="F457" i="1" a="1"/>
  <c r="F457" i="1" s="1"/>
  <c r="F471" i="1" a="1"/>
  <c r="F471" i="1" s="1"/>
  <c r="G444" i="1" a="1"/>
  <c r="G444" i="1" s="1"/>
  <c r="G448" i="1" a="1"/>
  <c r="G448" i="1" s="1"/>
  <c r="G436" i="1" a="1"/>
  <c r="G436" i="1" s="1"/>
  <c r="F460" i="1" a="1"/>
  <c r="F460" i="1" s="1"/>
  <c r="F474" i="1" a="1"/>
  <c r="F474" i="1" s="1"/>
  <c r="F466" i="1" a="1"/>
  <c r="F466" i="1" s="1"/>
  <c r="F477" i="1" a="1"/>
  <c r="F477" i="1" s="1"/>
  <c r="F480" i="1" a="1"/>
  <c r="F480" i="1" s="1"/>
  <c r="G419" i="1" a="1"/>
  <c r="G419" i="1" s="1"/>
  <c r="F455" i="1" a="1"/>
  <c r="F455" i="1" s="1"/>
  <c r="F469" i="1" a="1"/>
  <c r="F469" i="1" s="1"/>
  <c r="G437" i="1" a="1"/>
  <c r="G437" i="1" s="1"/>
  <c r="G426" i="1" a="1"/>
  <c r="G426" i="1" s="1"/>
  <c r="F461" i="1" a="1"/>
  <c r="F461" i="1" s="1"/>
  <c r="F464" i="1" a="1"/>
  <c r="F464" i="1" s="1"/>
  <c r="F478" i="1" a="1"/>
  <c r="F478" i="1" s="1"/>
  <c r="G421" i="1" a="1"/>
  <c r="G421" i="1" s="1"/>
  <c r="G442" i="1" a="1"/>
  <c r="G442" i="1" s="1"/>
  <c r="G446" i="1" a="1"/>
  <c r="G446" i="1" s="1"/>
  <c r="F467" i="1" a="1"/>
  <c r="F467" i="1" s="1"/>
  <c r="F472" i="1" a="1"/>
  <c r="F472" i="1" s="1"/>
  <c r="F450" i="1" a="1"/>
  <c r="F450" i="1" s="1"/>
  <c r="F453" i="1" a="1"/>
  <c r="F453" i="1" s="1"/>
  <c r="F481" i="1" a="1"/>
  <c r="F481" i="1" s="1"/>
  <c r="F458" i="1" a="1"/>
  <c r="F458" i="1" s="1"/>
  <c r="G898" i="1" a="1"/>
  <c r="G898" i="1" s="1"/>
  <c r="G914" i="1" a="1"/>
  <c r="G914" i="1" s="1"/>
  <c r="F944" i="1" a="1"/>
  <c r="F944" i="1" s="1"/>
  <c r="G910" i="1" a="1"/>
  <c r="G910" i="1" s="1"/>
  <c r="G926" i="1" a="1"/>
  <c r="G926" i="1" s="1"/>
  <c r="F940" i="1" a="1"/>
  <c r="F940" i="1" s="1"/>
  <c r="G901" i="1" a="1"/>
  <c r="G901" i="1" s="1"/>
  <c r="G917" i="1" a="1"/>
  <c r="G917" i="1" s="1"/>
  <c r="F931" i="1" a="1"/>
  <c r="F931" i="1" s="1"/>
  <c r="G900" i="1" a="1"/>
  <c r="G900" i="1" s="1"/>
  <c r="F934" i="1" a="1"/>
  <c r="F934" i="1" s="1"/>
  <c r="F949" i="1" a="1"/>
  <c r="F949" i="1" s="1"/>
  <c r="G903" i="1" a="1"/>
  <c r="G903" i="1" s="1"/>
  <c r="G906" i="1" a="1"/>
  <c r="G906" i="1" s="1"/>
  <c r="G920" i="1" a="1"/>
  <c r="G920" i="1" s="1"/>
  <c r="F942" i="1" a="1"/>
  <c r="F942" i="1" s="1"/>
  <c r="F956" i="1" a="1"/>
  <c r="F956" i="1" s="1"/>
  <c r="F947" i="1" a="1"/>
  <c r="F947" i="1" s="1"/>
  <c r="G909" i="1" a="1"/>
  <c r="G909" i="1" s="1"/>
  <c r="G923" i="1" a="1"/>
  <c r="G923" i="1" s="1"/>
  <c r="F937" i="1" a="1"/>
  <c r="F937" i="1" s="1"/>
  <c r="F954" i="1" a="1"/>
  <c r="F954" i="1" s="1"/>
  <c r="G912" i="1" a="1"/>
  <c r="G912" i="1" s="1"/>
  <c r="G915" i="1" a="1"/>
  <c r="G915" i="1" s="1"/>
  <c r="G929" i="1" a="1"/>
  <c r="G929" i="1" s="1"/>
  <c r="F932" i="1" a="1"/>
  <c r="F932" i="1" s="1"/>
  <c r="F945" i="1" a="1"/>
  <c r="F945" i="1" s="1"/>
  <c r="F961" i="1" a="1"/>
  <c r="F961" i="1" s="1"/>
  <c r="F952" i="1" a="1"/>
  <c r="F952" i="1" s="1"/>
  <c r="G904" i="1" a="1"/>
  <c r="G904" i="1" s="1"/>
  <c r="G918" i="1" a="1"/>
  <c r="G918" i="1" s="1"/>
  <c r="F935" i="1" a="1"/>
  <c r="F935" i="1" s="1"/>
  <c r="F959" i="1" a="1"/>
  <c r="F959" i="1" s="1"/>
  <c r="G921" i="1" a="1"/>
  <c r="G921" i="1" s="1"/>
  <c r="G924" i="1" a="1"/>
  <c r="G924" i="1" s="1"/>
  <c r="F943" i="1" a="1"/>
  <c r="F943" i="1" s="1"/>
  <c r="F950" i="1" a="1"/>
  <c r="F950" i="1" s="1"/>
  <c r="G907" i="1" a="1"/>
  <c r="G907" i="1" s="1"/>
  <c r="F938" i="1" a="1"/>
  <c r="F938" i="1" s="1"/>
  <c r="F957" i="1" a="1"/>
  <c r="F957" i="1" s="1"/>
  <c r="G899" i="1" a="1"/>
  <c r="G899" i="1" s="1"/>
  <c r="G913" i="1" a="1"/>
  <c r="G913" i="1" s="1"/>
  <c r="G927" i="1" a="1"/>
  <c r="G927" i="1" s="1"/>
  <c r="F930" i="1" a="1"/>
  <c r="F930" i="1" s="1"/>
  <c r="F948" i="1" a="1"/>
  <c r="F948" i="1" s="1"/>
  <c r="F933" i="1" a="1"/>
  <c r="F933" i="1" s="1"/>
  <c r="F955" i="1" a="1"/>
  <c r="F955" i="1" s="1"/>
  <c r="G902" i="1" a="1"/>
  <c r="G902" i="1" s="1"/>
  <c r="G916" i="1" a="1"/>
  <c r="G916" i="1" s="1"/>
  <c r="F941" i="1" a="1"/>
  <c r="F941" i="1" s="1"/>
  <c r="F946" i="1" a="1"/>
  <c r="F946" i="1" s="1"/>
  <c r="G905" i="1" a="1"/>
  <c r="G905" i="1" s="1"/>
  <c r="G908" i="1" a="1"/>
  <c r="G908" i="1" s="1"/>
  <c r="G919" i="1" a="1"/>
  <c r="G919" i="1" s="1"/>
  <c r="G922" i="1" a="1"/>
  <c r="G922" i="1" s="1"/>
  <c r="F936" i="1" a="1"/>
  <c r="F936" i="1" s="1"/>
  <c r="F953" i="1" a="1"/>
  <c r="F953" i="1" s="1"/>
  <c r="F960" i="1" a="1"/>
  <c r="F960" i="1" s="1"/>
  <c r="G911" i="1" a="1"/>
  <c r="G911" i="1" s="1"/>
  <c r="G925" i="1" a="1"/>
  <c r="G925" i="1" s="1"/>
  <c r="F951" i="1" a="1"/>
  <c r="F951" i="1" s="1"/>
  <c r="F958" i="1" a="1"/>
  <c r="F958" i="1" s="1"/>
  <c r="G928" i="1" a="1"/>
  <c r="G928" i="1" s="1"/>
  <c r="F939" i="1" a="1"/>
  <c r="F939" i="1" s="1"/>
  <c r="G210" i="1" a="1"/>
  <c r="G210" i="1" s="1"/>
  <c r="F240" i="1" a="1"/>
  <c r="F240" i="1" s="1"/>
  <c r="F256" i="1" a="1"/>
  <c r="F256" i="1" s="1"/>
  <c r="G201" i="1" a="1"/>
  <c r="G201" i="1" s="1"/>
  <c r="G217" i="1" a="1"/>
  <c r="G217" i="1" s="1"/>
  <c r="F231" i="1" a="1"/>
  <c r="F231" i="1" s="1"/>
  <c r="F247" i="1" a="1"/>
  <c r="F247" i="1" s="1"/>
  <c r="G208" i="1" a="1"/>
  <c r="G208" i="1" s="1"/>
  <c r="G224" i="1" a="1"/>
  <c r="G224" i="1" s="1"/>
  <c r="F238" i="1" a="1"/>
  <c r="F238" i="1" s="1"/>
  <c r="F254" i="1" a="1"/>
  <c r="F254" i="1" s="1"/>
  <c r="G194" i="1" a="1"/>
  <c r="G194" i="1" s="1"/>
  <c r="G199" i="1" a="1"/>
  <c r="G199" i="1" s="1"/>
  <c r="G215" i="1" a="1"/>
  <c r="G215" i="1" s="1"/>
  <c r="F229" i="1" a="1"/>
  <c r="F229" i="1" s="1"/>
  <c r="F245" i="1" a="1"/>
  <c r="F245" i="1" s="1"/>
  <c r="G206" i="1" a="1"/>
  <c r="G206" i="1" s="1"/>
  <c r="G222" i="1" a="1"/>
  <c r="G222" i="1" s="1"/>
  <c r="F236" i="1" a="1"/>
  <c r="F236" i="1" s="1"/>
  <c r="F252" i="1" a="1"/>
  <c r="F252" i="1" s="1"/>
  <c r="G197" i="1" a="1"/>
  <c r="G197" i="1" s="1"/>
  <c r="G213" i="1" a="1"/>
  <c r="G213" i="1" s="1"/>
  <c r="F227" i="1" a="1"/>
  <c r="F227" i="1" s="1"/>
  <c r="G204" i="1" a="1"/>
  <c r="G204" i="1" s="1"/>
  <c r="G220" i="1" a="1"/>
  <c r="G220" i="1" s="1"/>
  <c r="F234" i="1" a="1"/>
  <c r="F234" i="1" s="1"/>
  <c r="F250" i="1" a="1"/>
  <c r="F250" i="1" s="1"/>
  <c r="G211" i="1" a="1"/>
  <c r="G211" i="1" s="1"/>
  <c r="G202" i="1" a="1"/>
  <c r="G202" i="1" s="1"/>
  <c r="G218" i="1" a="1"/>
  <c r="G218" i="1" s="1"/>
  <c r="F232" i="1" a="1"/>
  <c r="F232" i="1" s="1"/>
  <c r="F248" i="1" a="1"/>
  <c r="F248" i="1" s="1"/>
  <c r="G195" i="1" a="1"/>
  <c r="G195" i="1" s="1"/>
  <c r="G209" i="1" a="1"/>
  <c r="G209" i="1" s="1"/>
  <c r="G225" i="1" a="1"/>
  <c r="G225" i="1" s="1"/>
  <c r="F239" i="1" a="1"/>
  <c r="F239" i="1" s="1"/>
  <c r="G200" i="1" a="1"/>
  <c r="G200" i="1" s="1"/>
  <c r="G216" i="1" a="1"/>
  <c r="G216" i="1" s="1"/>
  <c r="F230" i="1" a="1"/>
  <c r="F230" i="1" s="1"/>
  <c r="F246" i="1" a="1"/>
  <c r="F246" i="1" s="1"/>
  <c r="G205" i="1" a="1"/>
  <c r="G205" i="1" s="1"/>
  <c r="G221" i="1" a="1"/>
  <c r="G221" i="1" s="1"/>
  <c r="F235" i="1" a="1"/>
  <c r="F235" i="1" s="1"/>
  <c r="F251" i="1" a="1"/>
  <c r="F251" i="1" s="1"/>
  <c r="G196" i="1" a="1"/>
  <c r="G196" i="1" s="1"/>
  <c r="G212" i="1" a="1"/>
  <c r="G212" i="1" s="1"/>
  <c r="F226" i="1" a="1"/>
  <c r="F226" i="1" s="1"/>
  <c r="F237" i="1" a="1"/>
  <c r="F237" i="1" s="1"/>
  <c r="F243" i="1" a="1"/>
  <c r="F243" i="1" s="1"/>
  <c r="G203" i="1" a="1"/>
  <c r="G203" i="1" s="1"/>
  <c r="F228" i="1" a="1"/>
  <c r="F228" i="1" s="1"/>
  <c r="F253" i="1" a="1"/>
  <c r="F253" i="1" s="1"/>
  <c r="F244" i="1" a="1"/>
  <c r="F244" i="1" s="1"/>
  <c r="F249" i="1" a="1"/>
  <c r="F249" i="1" s="1"/>
  <c r="G207" i="1" a="1"/>
  <c r="G207" i="1" s="1"/>
  <c r="G219" i="1" a="1"/>
  <c r="G219" i="1" s="1"/>
  <c r="F255" i="1" a="1"/>
  <c r="F255" i="1" s="1"/>
  <c r="F233" i="1" a="1"/>
  <c r="F233" i="1" s="1"/>
  <c r="G198" i="1" a="1"/>
  <c r="G198" i="1" s="1"/>
  <c r="G223" i="1" a="1"/>
  <c r="G223" i="1" s="1"/>
  <c r="F241" i="1" a="1"/>
  <c r="F241" i="1" s="1"/>
  <c r="F242" i="1" a="1"/>
  <c r="F242" i="1" s="1"/>
  <c r="F257" i="1" a="1"/>
  <c r="F257" i="1" s="1"/>
  <c r="G214" i="1" a="1"/>
  <c r="G214" i="1" s="1"/>
  <c r="G706" i="1" a="1"/>
  <c r="G706" i="1" s="1"/>
  <c r="G722" i="1" a="1"/>
  <c r="G722" i="1" s="1"/>
  <c r="G709" i="1" a="1"/>
  <c r="G709" i="1" s="1"/>
  <c r="G725" i="1" a="1"/>
  <c r="G725" i="1" s="1"/>
  <c r="F739" i="1" a="1"/>
  <c r="F739" i="1" s="1"/>
  <c r="G716" i="1" a="1"/>
  <c r="G716" i="1" s="1"/>
  <c r="G732" i="1" a="1"/>
  <c r="G732" i="1" s="1"/>
  <c r="F746" i="1" a="1"/>
  <c r="F746" i="1" s="1"/>
  <c r="G714" i="1" a="1"/>
  <c r="G714" i="1" s="1"/>
  <c r="G730" i="1" a="1"/>
  <c r="G730" i="1" s="1"/>
  <c r="G712" i="1" a="1"/>
  <c r="G712" i="1" s="1"/>
  <c r="G724" i="1" a="1"/>
  <c r="G724" i="1" s="1"/>
  <c r="G727" i="1" a="1"/>
  <c r="G727" i="1" s="1"/>
  <c r="F742" i="1" a="1"/>
  <c r="F742" i="1" s="1"/>
  <c r="F752" i="1" a="1"/>
  <c r="F752" i="1" s="1"/>
  <c r="F768" i="1" a="1"/>
  <c r="F768" i="1" s="1"/>
  <c r="G715" i="1" a="1"/>
  <c r="G715" i="1" s="1"/>
  <c r="G718" i="1" a="1"/>
  <c r="G718" i="1" s="1"/>
  <c r="F759" i="1" a="1"/>
  <c r="F759" i="1" s="1"/>
  <c r="F750" i="1" a="1"/>
  <c r="F750" i="1" s="1"/>
  <c r="F766" i="1" a="1"/>
  <c r="F766" i="1" s="1"/>
  <c r="G728" i="1" a="1"/>
  <c r="G728" i="1" s="1"/>
  <c r="G737" i="1" a="1"/>
  <c r="G737" i="1" s="1"/>
  <c r="F740" i="1" a="1"/>
  <c r="F740" i="1" s="1"/>
  <c r="F764" i="1" a="1"/>
  <c r="F764" i="1" s="1"/>
  <c r="G719" i="1" a="1"/>
  <c r="G719" i="1" s="1"/>
  <c r="G731" i="1" a="1"/>
  <c r="G731" i="1" s="1"/>
  <c r="G734" i="1" a="1"/>
  <c r="G734" i="1" s="1"/>
  <c r="F748" i="1" a="1"/>
  <c r="F748" i="1" s="1"/>
  <c r="F755" i="1" a="1"/>
  <c r="F755" i="1" s="1"/>
  <c r="G707" i="1" a="1"/>
  <c r="G707" i="1" s="1"/>
  <c r="G710" i="1" a="1"/>
  <c r="G710" i="1" s="1"/>
  <c r="G713" i="1" a="1"/>
  <c r="G713" i="1" s="1"/>
  <c r="F743" i="1" a="1"/>
  <c r="F743" i="1" s="1"/>
  <c r="F762" i="1" a="1"/>
  <c r="F762" i="1" s="1"/>
  <c r="F753" i="1" a="1"/>
  <c r="F753" i="1" s="1"/>
  <c r="F769" i="1" a="1"/>
  <c r="F769" i="1" s="1"/>
  <c r="F760" i="1" a="1"/>
  <c r="F760" i="1" s="1"/>
  <c r="G735" i="1" a="1"/>
  <c r="G735" i="1" s="1"/>
  <c r="F738" i="1" a="1"/>
  <c r="F738" i="1" s="1"/>
  <c r="F751" i="1" a="1"/>
  <c r="F751" i="1" s="1"/>
  <c r="F767" i="1" a="1"/>
  <c r="F767" i="1" s="1"/>
  <c r="G723" i="1" a="1"/>
  <c r="G723" i="1" s="1"/>
  <c r="G726" i="1" a="1"/>
  <c r="G726" i="1" s="1"/>
  <c r="G729" i="1" a="1"/>
  <c r="G729" i="1" s="1"/>
  <c r="F741" i="1" a="1"/>
  <c r="F741" i="1" s="1"/>
  <c r="F758" i="1" a="1"/>
  <c r="F758" i="1" s="1"/>
  <c r="G717" i="1" a="1"/>
  <c r="G717" i="1" s="1"/>
  <c r="G720" i="1" a="1"/>
  <c r="G720" i="1" s="1"/>
  <c r="F765" i="1" a="1"/>
  <c r="F765" i="1" s="1"/>
  <c r="F763" i="1" a="1"/>
  <c r="F763" i="1" s="1"/>
  <c r="F754" i="1" a="1"/>
  <c r="F754" i="1" s="1"/>
  <c r="F747" i="1" a="1"/>
  <c r="F747" i="1" s="1"/>
  <c r="G708" i="1" a="1"/>
  <c r="G708" i="1" s="1"/>
  <c r="G733" i="1" a="1"/>
  <c r="G733" i="1" s="1"/>
  <c r="F749" i="1" a="1"/>
  <c r="F749" i="1" s="1"/>
  <c r="F761" i="1" a="1"/>
  <c r="F761" i="1" s="1"/>
  <c r="G711" i="1" a="1"/>
  <c r="G711" i="1" s="1"/>
  <c r="G736" i="1" a="1"/>
  <c r="G736" i="1" s="1"/>
  <c r="G721" i="1" a="1"/>
  <c r="G721" i="1" s="1"/>
  <c r="F756" i="1" a="1"/>
  <c r="F756" i="1" s="1"/>
  <c r="F744" i="1" a="1"/>
  <c r="F744" i="1" s="1"/>
  <c r="F757" i="1" a="1"/>
  <c r="F757" i="1" s="1"/>
  <c r="F745" i="1" a="1"/>
  <c r="F745" i="1" s="1"/>
  <c r="G322" i="1" a="1"/>
  <c r="G322" i="1" s="1"/>
  <c r="H322" i="1" s="1"/>
  <c r="I322" i="1" s="1"/>
  <c r="G338" i="1" a="1"/>
  <c r="G338" i="1" s="1"/>
  <c r="G327" i="1" a="1"/>
  <c r="G327" i="1" s="1"/>
  <c r="H327" i="1" s="1"/>
  <c r="I327" i="1" s="1"/>
  <c r="G334" i="1" a="1"/>
  <c r="G334" i="1" s="1"/>
  <c r="H334" i="1" s="1"/>
  <c r="I334" i="1" s="1"/>
  <c r="G336" i="1" a="1"/>
  <c r="G336" i="1" s="1"/>
  <c r="H336" i="1" s="1"/>
  <c r="I336" i="1" s="1"/>
  <c r="G339" i="1" a="1"/>
  <c r="G339" i="1" s="1"/>
  <c r="H339" i="1" s="1"/>
  <c r="I339" i="1" s="1"/>
  <c r="G353" i="1" a="1"/>
  <c r="G353" i="1" s="1"/>
  <c r="H353" i="1" s="1"/>
  <c r="I353" i="1" s="1"/>
  <c r="F367" i="1" a="1"/>
  <c r="F367" i="1" s="1"/>
  <c r="F383" i="1" a="1"/>
  <c r="F383" i="1" s="1"/>
  <c r="G344" i="1" a="1"/>
  <c r="G344" i="1" s="1"/>
  <c r="F358" i="1" a="1"/>
  <c r="F358" i="1" s="1"/>
  <c r="F374" i="1" a="1"/>
  <c r="F374" i="1" s="1"/>
  <c r="G351" i="1" a="1"/>
  <c r="G351" i="1" s="1"/>
  <c r="F365" i="1" a="1"/>
  <c r="F365" i="1" s="1"/>
  <c r="F381" i="1" a="1"/>
  <c r="F381" i="1" s="1"/>
  <c r="G325" i="1" a="1"/>
  <c r="G325" i="1" s="1"/>
  <c r="H325" i="1" s="1"/>
  <c r="I325" i="1" s="1"/>
  <c r="G328" i="1" a="1"/>
  <c r="G328" i="1" s="1"/>
  <c r="H328" i="1" s="1"/>
  <c r="I328" i="1" s="1"/>
  <c r="G342" i="1" a="1"/>
  <c r="G342" i="1" s="1"/>
  <c r="H342" i="1" s="1"/>
  <c r="I342" i="1" s="1"/>
  <c r="F356" i="1" a="1"/>
  <c r="F356" i="1" s="1"/>
  <c r="F372" i="1" a="1"/>
  <c r="F372" i="1" s="1"/>
  <c r="G331" i="1" a="1"/>
  <c r="G331" i="1" s="1"/>
  <c r="G349" i="1" a="1"/>
  <c r="G349" i="1" s="1"/>
  <c r="H349" i="1" s="1"/>
  <c r="I349" i="1" s="1"/>
  <c r="F363" i="1" a="1"/>
  <c r="F363" i="1" s="1"/>
  <c r="F379" i="1" a="1"/>
  <c r="F379" i="1" s="1"/>
  <c r="G337" i="1" a="1"/>
  <c r="G337" i="1" s="1"/>
  <c r="H337" i="1" s="1"/>
  <c r="I337" i="1" s="1"/>
  <c r="F354" i="1" a="1"/>
  <c r="F354" i="1" s="1"/>
  <c r="F370" i="1" a="1"/>
  <c r="F370" i="1" s="1"/>
  <c r="G347" i="1" a="1"/>
  <c r="G347" i="1" s="1"/>
  <c r="F361" i="1" a="1"/>
  <c r="F361" i="1" s="1"/>
  <c r="F377" i="1" a="1"/>
  <c r="F377" i="1" s="1"/>
  <c r="G340" i="1" a="1"/>
  <c r="G340" i="1" s="1"/>
  <c r="F368" i="1" a="1"/>
  <c r="F368" i="1" s="1"/>
  <c r="F384" i="1" a="1"/>
  <c r="F384" i="1" s="1"/>
  <c r="G323" i="1" a="1"/>
  <c r="G323" i="1" s="1"/>
  <c r="H323" i="1" s="1"/>
  <c r="I323" i="1" s="1"/>
  <c r="G332" i="1" a="1"/>
  <c r="G332" i="1" s="1"/>
  <c r="H332" i="1" s="1"/>
  <c r="I332" i="1" s="1"/>
  <c r="G345" i="1" a="1"/>
  <c r="G345" i="1" s="1"/>
  <c r="F359" i="1" a="1"/>
  <c r="F359" i="1" s="1"/>
  <c r="F375" i="1" a="1"/>
  <c r="F375" i="1" s="1"/>
  <c r="G326" i="1" a="1"/>
  <c r="G326" i="1" s="1"/>
  <c r="H326" i="1" s="1"/>
  <c r="I326" i="1" s="1"/>
  <c r="G329" i="1" a="1"/>
  <c r="G329" i="1" s="1"/>
  <c r="H329" i="1" s="1"/>
  <c r="I329" i="1" s="1"/>
  <c r="G352" i="1" a="1"/>
  <c r="G352" i="1" s="1"/>
  <c r="H352" i="1" s="1"/>
  <c r="I352" i="1" s="1"/>
  <c r="F366" i="1" a="1"/>
  <c r="F366" i="1" s="1"/>
  <c r="F382" i="1" a="1"/>
  <c r="F382" i="1" s="1"/>
  <c r="G335" i="1" a="1"/>
  <c r="G335" i="1" s="1"/>
  <c r="H335" i="1" s="1"/>
  <c r="I335" i="1" s="1"/>
  <c r="G343" i="1" a="1"/>
  <c r="G343" i="1" s="1"/>
  <c r="H343" i="1" s="1"/>
  <c r="I343" i="1" s="1"/>
  <c r="F357" i="1" a="1"/>
  <c r="F357" i="1" s="1"/>
  <c r="F373" i="1" a="1"/>
  <c r="F373" i="1" s="1"/>
  <c r="G330" i="1" a="1"/>
  <c r="G330" i="1" s="1"/>
  <c r="H330" i="1" s="1"/>
  <c r="I330" i="1" s="1"/>
  <c r="G348" i="1" a="1"/>
  <c r="G348" i="1" s="1"/>
  <c r="F362" i="1" a="1"/>
  <c r="F362" i="1" s="1"/>
  <c r="F378" i="1" a="1"/>
  <c r="F378" i="1" s="1"/>
  <c r="F369" i="1" a="1"/>
  <c r="F369" i="1" s="1"/>
  <c r="F385" i="1" a="1"/>
  <c r="F385" i="1" s="1"/>
  <c r="G350" i="1" a="1"/>
  <c r="G350" i="1" s="1"/>
  <c r="F364" i="1" a="1"/>
  <c r="F364" i="1" s="1"/>
  <c r="F376" i="1" a="1"/>
  <c r="F376" i="1" s="1"/>
  <c r="G324" i="1" a="1"/>
  <c r="G324" i="1" s="1"/>
  <c r="G341" i="1" a="1"/>
  <c r="G341" i="1" s="1"/>
  <c r="H341" i="1" s="1"/>
  <c r="I341" i="1" s="1"/>
  <c r="F355" i="1" a="1"/>
  <c r="F355" i="1" s="1"/>
  <c r="F380" i="1" a="1"/>
  <c r="F380" i="1" s="1"/>
  <c r="G346" i="1" a="1"/>
  <c r="G346" i="1" s="1"/>
  <c r="H346" i="1" s="1"/>
  <c r="I346" i="1" s="1"/>
  <c r="F371" i="1" a="1"/>
  <c r="F371" i="1" s="1"/>
  <c r="G333" i="1" a="1"/>
  <c r="G333" i="1" s="1"/>
  <c r="H333" i="1" s="1"/>
  <c r="I333" i="1" s="1"/>
  <c r="F360" i="1" a="1"/>
  <c r="F360" i="1" s="1"/>
  <c r="G5" i="1" a="1"/>
  <c r="G5" i="1" s="1"/>
  <c r="H5" i="1" s="1"/>
  <c r="I5" i="1" s="1"/>
  <c r="J5" i="1" s="1"/>
  <c r="K5" i="1" s="1"/>
  <c r="G21" i="1" a="1"/>
  <c r="G21" i="1" s="1"/>
  <c r="H21" i="1" s="1"/>
  <c r="I21" i="1" s="1"/>
  <c r="J21" i="1" s="1"/>
  <c r="K21" i="1" s="1"/>
  <c r="F35" i="1" a="1"/>
  <c r="F35" i="1" s="1"/>
  <c r="F51" i="1" a="1"/>
  <c r="F51" i="1" s="1"/>
  <c r="G12" i="1" a="1"/>
  <c r="G12" i="1" s="1"/>
  <c r="H12" i="1" s="1"/>
  <c r="I12" i="1" s="1"/>
  <c r="J12" i="1" s="1"/>
  <c r="K12" i="1" s="1"/>
  <c r="G28" i="1" a="1"/>
  <c r="G28" i="1" s="1"/>
  <c r="H28" i="1" s="1"/>
  <c r="I28" i="1" s="1"/>
  <c r="J28" i="1" s="1"/>
  <c r="K28" i="1" s="1"/>
  <c r="F42" i="1" a="1"/>
  <c r="F42" i="1" s="1"/>
  <c r="F58" i="1" a="1"/>
  <c r="F58" i="1" s="1"/>
  <c r="G3" i="1" a="1"/>
  <c r="G3" i="1" s="1"/>
  <c r="H3" i="1" s="1"/>
  <c r="I3" i="1" s="1"/>
  <c r="G19" i="1" a="1"/>
  <c r="G19" i="1" s="1"/>
  <c r="H19" i="1" s="1"/>
  <c r="I19" i="1" s="1"/>
  <c r="J19" i="1" s="1"/>
  <c r="K19" i="1" s="1"/>
  <c r="F49" i="1" a="1"/>
  <c r="F49" i="1" s="1"/>
  <c r="F65" i="1" a="1"/>
  <c r="F65" i="1" s="1"/>
  <c r="G10" i="1" a="1"/>
  <c r="G10" i="1" s="1"/>
  <c r="H10" i="1" s="1"/>
  <c r="I10" i="1" s="1"/>
  <c r="J10" i="1" s="1"/>
  <c r="K10" i="1" s="1"/>
  <c r="G26" i="1" a="1"/>
  <c r="G26" i="1" s="1"/>
  <c r="H26" i="1" s="1"/>
  <c r="I26" i="1" s="1"/>
  <c r="J26" i="1" s="1"/>
  <c r="K26" i="1" s="1"/>
  <c r="F40" i="1" a="1"/>
  <c r="F40" i="1" s="1"/>
  <c r="F56" i="1" a="1"/>
  <c r="F56" i="1" s="1"/>
  <c r="G17" i="1" a="1"/>
  <c r="G17" i="1" s="1"/>
  <c r="H17" i="1" s="1"/>
  <c r="I17" i="1" s="1"/>
  <c r="J17" i="1" s="1"/>
  <c r="K17" i="1" s="1"/>
  <c r="G33" i="1" a="1"/>
  <c r="G33" i="1" s="1"/>
  <c r="H33" i="1" s="1"/>
  <c r="I33" i="1" s="1"/>
  <c r="J33" i="1" s="1"/>
  <c r="K33" i="1" s="1"/>
  <c r="F47" i="1" a="1"/>
  <c r="F47" i="1" s="1"/>
  <c r="F63" i="1" a="1"/>
  <c r="F63" i="1" s="1"/>
  <c r="G8" i="1" a="1"/>
  <c r="G8" i="1" s="1"/>
  <c r="H8" i="1" s="1"/>
  <c r="I8" i="1" s="1"/>
  <c r="J8" i="1" s="1"/>
  <c r="K8" i="1" s="1"/>
  <c r="G24" i="1" a="1"/>
  <c r="G24" i="1" s="1"/>
  <c r="H24" i="1" s="1"/>
  <c r="I24" i="1" s="1"/>
  <c r="J24" i="1" s="1"/>
  <c r="K24" i="1" s="1"/>
  <c r="F38" i="1" a="1"/>
  <c r="F38" i="1" s="1"/>
  <c r="F54" i="1" a="1"/>
  <c r="F54" i="1" s="1"/>
  <c r="G15" i="1" a="1"/>
  <c r="G15" i="1" s="1"/>
  <c r="H15" i="1" s="1"/>
  <c r="I15" i="1" s="1"/>
  <c r="J15" i="1" s="1"/>
  <c r="K15" i="1" s="1"/>
  <c r="G31" i="1" a="1"/>
  <c r="G31" i="1" s="1"/>
  <c r="H31" i="1" s="1"/>
  <c r="I31" i="1" s="1"/>
  <c r="J31" i="1" s="1"/>
  <c r="K31" i="1" s="1"/>
  <c r="F45" i="1" a="1"/>
  <c r="F45" i="1" s="1"/>
  <c r="F61" i="1" a="1"/>
  <c r="F61" i="1" s="1"/>
  <c r="G6" i="1" a="1"/>
  <c r="G6" i="1" s="1"/>
  <c r="H6" i="1" s="1"/>
  <c r="I6" i="1" s="1"/>
  <c r="J6" i="1" s="1"/>
  <c r="K6" i="1" s="1"/>
  <c r="G22" i="1" a="1"/>
  <c r="G22" i="1" s="1"/>
  <c r="H22" i="1" s="1"/>
  <c r="I22" i="1" s="1"/>
  <c r="J22" i="1" s="1"/>
  <c r="K22" i="1" s="1"/>
  <c r="F36" i="1" a="1"/>
  <c r="F36" i="1" s="1"/>
  <c r="F52" i="1" a="1"/>
  <c r="F52" i="1" s="1"/>
  <c r="G13" i="1" a="1"/>
  <c r="G13" i="1" s="1"/>
  <c r="H13" i="1" s="1"/>
  <c r="I13" i="1" s="1"/>
  <c r="J13" i="1" s="1"/>
  <c r="K13" i="1" s="1"/>
  <c r="G29" i="1" a="1"/>
  <c r="G29" i="1" s="1"/>
  <c r="H29" i="1" s="1"/>
  <c r="I29" i="1" s="1"/>
  <c r="J29" i="1" s="1"/>
  <c r="K29" i="1" s="1"/>
  <c r="F43" i="1" a="1"/>
  <c r="F43" i="1" s="1"/>
  <c r="F59" i="1" a="1"/>
  <c r="F59" i="1" s="1"/>
  <c r="G4" i="1" a="1"/>
  <c r="G4" i="1" s="1"/>
  <c r="H4" i="1" s="1"/>
  <c r="I4" i="1" s="1"/>
  <c r="J4" i="1" s="1"/>
  <c r="K4" i="1" s="1"/>
  <c r="G20" i="1" a="1"/>
  <c r="G20" i="1" s="1"/>
  <c r="H20" i="1" s="1"/>
  <c r="I20" i="1" s="1"/>
  <c r="F34" i="1" a="1"/>
  <c r="F34" i="1" s="1"/>
  <c r="F50" i="1" a="1"/>
  <c r="F50" i="1" s="1"/>
  <c r="G11" i="1" a="1"/>
  <c r="G11" i="1" s="1"/>
  <c r="H11" i="1" s="1"/>
  <c r="I11" i="1" s="1"/>
  <c r="G27" i="1" a="1"/>
  <c r="G27" i="1" s="1"/>
  <c r="H27" i="1" s="1"/>
  <c r="I27" i="1" s="1"/>
  <c r="J27" i="1" s="1"/>
  <c r="K27" i="1" s="1"/>
  <c r="F41" i="1" a="1"/>
  <c r="F41" i="1" s="1"/>
  <c r="F57" i="1" a="1"/>
  <c r="F57" i="1" s="1"/>
  <c r="G18" i="1" a="1"/>
  <c r="G18" i="1" s="1"/>
  <c r="H18" i="1" s="1"/>
  <c r="I18" i="1" s="1"/>
  <c r="J18" i="1" s="1"/>
  <c r="K18" i="1" s="1"/>
  <c r="F48" i="1" a="1"/>
  <c r="F48" i="1" s="1"/>
  <c r="F64" i="1" a="1"/>
  <c r="F64" i="1" s="1"/>
  <c r="G16" i="1" a="1"/>
  <c r="G16" i="1" s="1"/>
  <c r="H16" i="1" s="1"/>
  <c r="I16" i="1" s="1"/>
  <c r="J16" i="1" s="1"/>
  <c r="K16" i="1" s="1"/>
  <c r="G32" i="1" a="1"/>
  <c r="G32" i="1" s="1"/>
  <c r="H32" i="1" s="1"/>
  <c r="I32" i="1" s="1"/>
  <c r="J32" i="1" s="1"/>
  <c r="K32" i="1" s="1"/>
  <c r="F46" i="1" a="1"/>
  <c r="F46" i="1" s="1"/>
  <c r="F62" i="1" a="1"/>
  <c r="F62" i="1" s="1"/>
  <c r="G7" i="1" a="1"/>
  <c r="G7" i="1" s="1"/>
  <c r="H7" i="1" s="1"/>
  <c r="I7" i="1" s="1"/>
  <c r="J7" i="1" s="1"/>
  <c r="K7" i="1" s="1"/>
  <c r="G23" i="1" a="1"/>
  <c r="G23" i="1" s="1"/>
  <c r="H23" i="1" s="1"/>
  <c r="I23" i="1" s="1"/>
  <c r="J23" i="1" s="1"/>
  <c r="K23" i="1" s="1"/>
  <c r="F37" i="1" a="1"/>
  <c r="F37" i="1" s="1"/>
  <c r="F53" i="1" a="1"/>
  <c r="F53" i="1" s="1"/>
  <c r="G25" i="1" a="1"/>
  <c r="G25" i="1" s="1"/>
  <c r="H25" i="1" s="1"/>
  <c r="I25" i="1" s="1"/>
  <c r="J25" i="1" s="1"/>
  <c r="K25" i="1" s="1"/>
  <c r="F44" i="1" a="1"/>
  <c r="F44" i="1" s="1"/>
  <c r="G9" i="1" a="1"/>
  <c r="G9" i="1" s="1"/>
  <c r="H9" i="1" s="1"/>
  <c r="I9" i="1" s="1"/>
  <c r="J9" i="1" s="1"/>
  <c r="K9" i="1" s="1"/>
  <c r="G30" i="1" a="1"/>
  <c r="G30" i="1" s="1"/>
  <c r="H30" i="1" s="1"/>
  <c r="I30" i="1" s="1"/>
  <c r="G14" i="1" a="1"/>
  <c r="G14" i="1" s="1"/>
  <c r="H14" i="1" s="1"/>
  <c r="I14" i="1" s="1"/>
  <c r="J14" i="1" s="1"/>
  <c r="K14" i="1" s="1"/>
  <c r="F55" i="1" a="1"/>
  <c r="F55" i="1" s="1"/>
  <c r="F39" i="1" a="1"/>
  <c r="F39" i="1" s="1"/>
  <c r="F60" i="1" a="1"/>
  <c r="F60" i="1" s="1"/>
  <c r="G101" i="1" a="1"/>
  <c r="G101" i="1" s="1"/>
  <c r="G117" i="1" a="1"/>
  <c r="G117" i="1" s="1"/>
  <c r="H117" i="1" s="1"/>
  <c r="I117" i="1" s="1"/>
  <c r="F131" i="1" a="1"/>
  <c r="F131" i="1" s="1"/>
  <c r="F147" i="1" a="1"/>
  <c r="F147" i="1" s="1"/>
  <c r="G108" i="1" a="1"/>
  <c r="G108" i="1" s="1"/>
  <c r="H108" i="1" s="1"/>
  <c r="I108" i="1" s="1"/>
  <c r="G124" i="1" a="1"/>
  <c r="G124" i="1" s="1"/>
  <c r="F138" i="1" a="1"/>
  <c r="F138" i="1" s="1"/>
  <c r="G99" i="1" a="1"/>
  <c r="G99" i="1" s="1"/>
  <c r="H99" i="1" s="1"/>
  <c r="I99" i="1" s="1"/>
  <c r="G115" i="1" a="1"/>
  <c r="G115" i="1" s="1"/>
  <c r="H115" i="1" s="1"/>
  <c r="I115" i="1" s="1"/>
  <c r="G106" i="1" a="1"/>
  <c r="G106" i="1" s="1"/>
  <c r="H106" i="1" s="1"/>
  <c r="I106" i="1" s="1"/>
  <c r="G122" i="1" a="1"/>
  <c r="G122" i="1" s="1"/>
  <c r="H122" i="1" s="1"/>
  <c r="I122" i="1" s="1"/>
  <c r="F136" i="1" a="1"/>
  <c r="F136" i="1" s="1"/>
  <c r="F152" i="1" a="1"/>
  <c r="F152" i="1" s="1"/>
  <c r="G113" i="1" a="1"/>
  <c r="G113" i="1" s="1"/>
  <c r="H113" i="1" s="1"/>
  <c r="I113" i="1" s="1"/>
  <c r="G129" i="1" a="1"/>
  <c r="G129" i="1" s="1"/>
  <c r="H129" i="1" s="1"/>
  <c r="I129" i="1" s="1"/>
  <c r="F143" i="1" a="1"/>
  <c r="F143" i="1" s="1"/>
  <c r="F159" i="1" a="1"/>
  <c r="F159" i="1" s="1"/>
  <c r="G104" i="1" a="1"/>
  <c r="G104" i="1" s="1"/>
  <c r="G120" i="1" a="1"/>
  <c r="G120" i="1" s="1"/>
  <c r="F134" i="1" a="1"/>
  <c r="F134" i="1" s="1"/>
  <c r="F150" i="1" a="1"/>
  <c r="F150" i="1" s="1"/>
  <c r="G111" i="1" a="1"/>
  <c r="G111" i="1" s="1"/>
  <c r="H111" i="1" s="1"/>
  <c r="I111" i="1" s="1"/>
  <c r="G127" i="1" a="1"/>
  <c r="G127" i="1" s="1"/>
  <c r="H127" i="1" s="1"/>
  <c r="I127" i="1" s="1"/>
  <c r="F141" i="1" a="1"/>
  <c r="F141" i="1" s="1"/>
  <c r="F157" i="1" a="1"/>
  <c r="F157" i="1" s="1"/>
  <c r="G102" i="1" a="1"/>
  <c r="G102" i="1" s="1"/>
  <c r="H102" i="1" s="1"/>
  <c r="I102" i="1" s="1"/>
  <c r="G118" i="1" a="1"/>
  <c r="G118" i="1" s="1"/>
  <c r="H118" i="1" s="1"/>
  <c r="I118" i="1" s="1"/>
  <c r="F132" i="1" a="1"/>
  <c r="F132" i="1" s="1"/>
  <c r="G109" i="1" a="1"/>
  <c r="G109" i="1" s="1"/>
  <c r="H109" i="1" s="1"/>
  <c r="I109" i="1" s="1"/>
  <c r="G125" i="1" a="1"/>
  <c r="G125" i="1" s="1"/>
  <c r="H125" i="1" s="1"/>
  <c r="I125" i="1" s="1"/>
  <c r="F139" i="1" a="1"/>
  <c r="F139" i="1" s="1"/>
  <c r="G100" i="1" a="1"/>
  <c r="G100" i="1" s="1"/>
  <c r="H100" i="1" s="1"/>
  <c r="I100" i="1" s="1"/>
  <c r="G116" i="1" a="1"/>
  <c r="G116" i="1" s="1"/>
  <c r="F130" i="1" a="1"/>
  <c r="F130" i="1" s="1"/>
  <c r="G107" i="1" a="1"/>
  <c r="G107" i="1" s="1"/>
  <c r="H107" i="1" s="1"/>
  <c r="I107" i="1" s="1"/>
  <c r="G123" i="1" a="1"/>
  <c r="G123" i="1" s="1"/>
  <c r="H123" i="1" s="1"/>
  <c r="I123" i="1" s="1"/>
  <c r="F137" i="1" a="1"/>
  <c r="F137" i="1" s="1"/>
  <c r="G98" i="1" a="1"/>
  <c r="G98" i="1" s="1"/>
  <c r="H98" i="1" s="1"/>
  <c r="I98" i="1" s="1"/>
  <c r="G114" i="1" a="1"/>
  <c r="G114" i="1" s="1"/>
  <c r="H114" i="1" s="1"/>
  <c r="I114" i="1" s="1"/>
  <c r="G112" i="1" a="1"/>
  <c r="G112" i="1" s="1"/>
  <c r="G128" i="1" a="1"/>
  <c r="G128" i="1" s="1"/>
  <c r="F142" i="1" a="1"/>
  <c r="F142" i="1" s="1"/>
  <c r="G103" i="1" a="1"/>
  <c r="G103" i="1" s="1"/>
  <c r="H103" i="1" s="1"/>
  <c r="I103" i="1" s="1"/>
  <c r="G119" i="1" a="1"/>
  <c r="G119" i="1" s="1"/>
  <c r="H119" i="1" s="1"/>
  <c r="I119" i="1" s="1"/>
  <c r="F144" i="1" a="1"/>
  <c r="F144" i="1" s="1"/>
  <c r="F154" i="1" a="1"/>
  <c r="F154" i="1" s="1"/>
  <c r="F148" i="1" a="1"/>
  <c r="F148" i="1" s="1"/>
  <c r="F151" i="1" a="1"/>
  <c r="F151" i="1" s="1"/>
  <c r="G121" i="1" a="1"/>
  <c r="G121" i="1" s="1"/>
  <c r="H121" i="1" s="1"/>
  <c r="I121" i="1" s="1"/>
  <c r="F155" i="1" a="1"/>
  <c r="F155" i="1" s="1"/>
  <c r="F158" i="1" a="1"/>
  <c r="F158" i="1" s="1"/>
  <c r="F161" i="1" a="1"/>
  <c r="F161" i="1" s="1"/>
  <c r="G105" i="1" a="1"/>
  <c r="G105" i="1" s="1"/>
  <c r="H105" i="1" s="1"/>
  <c r="I105" i="1" s="1"/>
  <c r="F140" i="1" a="1"/>
  <c r="F140" i="1" s="1"/>
  <c r="F145" i="1" a="1"/>
  <c r="F145" i="1" s="1"/>
  <c r="F133" i="1" a="1"/>
  <c r="F133" i="1" s="1"/>
  <c r="F146" i="1" a="1"/>
  <c r="F146" i="1" s="1"/>
  <c r="F149" i="1" a="1"/>
  <c r="F149" i="1" s="1"/>
  <c r="G126" i="1" a="1"/>
  <c r="G126" i="1" s="1"/>
  <c r="H126" i="1" s="1"/>
  <c r="I126" i="1" s="1"/>
  <c r="F156" i="1" a="1"/>
  <c r="F156" i="1" s="1"/>
  <c r="F135" i="1" a="1"/>
  <c r="F135" i="1" s="1"/>
  <c r="F160" i="1" a="1"/>
  <c r="F160" i="1" s="1"/>
  <c r="G110" i="1" a="1"/>
  <c r="G110" i="1" s="1"/>
  <c r="H110" i="1" s="1"/>
  <c r="I110" i="1" s="1"/>
  <c r="F153" i="1" a="1"/>
  <c r="F153" i="1" s="1"/>
  <c r="G802" i="1" a="1"/>
  <c r="G802" i="1" s="1"/>
  <c r="G818" i="1" a="1"/>
  <c r="G818" i="1" s="1"/>
  <c r="F848" i="1" a="1"/>
  <c r="F848" i="1" s="1"/>
  <c r="F864" i="1" a="1"/>
  <c r="F864" i="1" s="1"/>
  <c r="G809" i="1" a="1"/>
  <c r="G809" i="1" s="1"/>
  <c r="G825" i="1" a="1"/>
  <c r="G825" i="1" s="1"/>
  <c r="F839" i="1" a="1"/>
  <c r="F839" i="1" s="1"/>
  <c r="F855" i="1" a="1"/>
  <c r="F855" i="1" s="1"/>
  <c r="G816" i="1" a="1"/>
  <c r="G816" i="1" s="1"/>
  <c r="G832" i="1" a="1"/>
  <c r="G832" i="1" s="1"/>
  <c r="F846" i="1" a="1"/>
  <c r="F846" i="1" s="1"/>
  <c r="F862" i="1" a="1"/>
  <c r="F862" i="1" s="1"/>
  <c r="G814" i="1" a="1"/>
  <c r="G814" i="1" s="1"/>
  <c r="G830" i="1" a="1"/>
  <c r="G830" i="1" s="1"/>
  <c r="F844" i="1" a="1"/>
  <c r="F844" i="1" s="1"/>
  <c r="F860" i="1" a="1"/>
  <c r="F860" i="1" s="1"/>
  <c r="G805" i="1" a="1"/>
  <c r="G805" i="1" s="1"/>
  <c r="G821" i="1" a="1"/>
  <c r="G821" i="1" s="1"/>
  <c r="F835" i="1" a="1"/>
  <c r="F835" i="1" s="1"/>
  <c r="F851" i="1" a="1"/>
  <c r="F851" i="1" s="1"/>
  <c r="G812" i="1" a="1"/>
  <c r="G812" i="1" s="1"/>
  <c r="G828" i="1" a="1"/>
  <c r="G828" i="1" s="1"/>
  <c r="F842" i="1" a="1"/>
  <c r="F842" i="1" s="1"/>
  <c r="F858" i="1" a="1"/>
  <c r="F858" i="1" s="1"/>
  <c r="G803" i="1" a="1"/>
  <c r="G803" i="1" s="1"/>
  <c r="G819" i="1" a="1"/>
  <c r="G819" i="1" s="1"/>
  <c r="G810" i="1" a="1"/>
  <c r="G810" i="1" s="1"/>
  <c r="G826" i="1" a="1"/>
  <c r="G826" i="1" s="1"/>
  <c r="F840" i="1" a="1"/>
  <c r="F840" i="1" s="1"/>
  <c r="F856" i="1" a="1"/>
  <c r="F856" i="1" s="1"/>
  <c r="G817" i="1" a="1"/>
  <c r="G817" i="1" s="1"/>
  <c r="G833" i="1" a="1"/>
  <c r="G833" i="1" s="1"/>
  <c r="F847" i="1" a="1"/>
  <c r="F847" i="1" s="1"/>
  <c r="G808" i="1" a="1"/>
  <c r="G808" i="1" s="1"/>
  <c r="G824" i="1" a="1"/>
  <c r="G824" i="1" s="1"/>
  <c r="F838" i="1" a="1"/>
  <c r="F838" i="1" s="1"/>
  <c r="F854" i="1" a="1"/>
  <c r="F854" i="1" s="1"/>
  <c r="G815" i="1" a="1"/>
  <c r="G815" i="1" s="1"/>
  <c r="G831" i="1" a="1"/>
  <c r="G831" i="1" s="1"/>
  <c r="F845" i="1" a="1"/>
  <c r="F845" i="1" s="1"/>
  <c r="G813" i="1" a="1"/>
  <c r="G813" i="1" s="1"/>
  <c r="G804" i="1" a="1"/>
  <c r="G804" i="1" s="1"/>
  <c r="G820" i="1" a="1"/>
  <c r="G820" i="1" s="1"/>
  <c r="F834" i="1" a="1"/>
  <c r="F834" i="1" s="1"/>
  <c r="G807" i="1" a="1"/>
  <c r="G807" i="1" s="1"/>
  <c r="F837" i="1" a="1"/>
  <c r="F837" i="1" s="1"/>
  <c r="F865" i="1" a="1"/>
  <c r="F865" i="1" s="1"/>
  <c r="G822" i="1" a="1"/>
  <c r="G822" i="1" s="1"/>
  <c r="F861" i="1" a="1"/>
  <c r="F861" i="1" s="1"/>
  <c r="F852" i="1" a="1"/>
  <c r="F852" i="1" s="1"/>
  <c r="G811" i="1" a="1"/>
  <c r="G811" i="1" s="1"/>
  <c r="G823" i="1" a="1"/>
  <c r="G823" i="1" s="1"/>
  <c r="F857" i="1" a="1"/>
  <c r="F857" i="1" s="1"/>
  <c r="F853" i="1" a="1"/>
  <c r="F853" i="1" s="1"/>
  <c r="F841" i="1" a="1"/>
  <c r="F841" i="1" s="1"/>
  <c r="F863" i="1" a="1"/>
  <c r="F863" i="1" s="1"/>
  <c r="G827" i="1" a="1"/>
  <c r="G827" i="1" s="1"/>
  <c r="F849" i="1" a="1"/>
  <c r="F849" i="1" s="1"/>
  <c r="F836" i="1" a="1"/>
  <c r="F836" i="1" s="1"/>
  <c r="F843" i="1" a="1"/>
  <c r="F843" i="1" s="1"/>
  <c r="F859" i="1" a="1"/>
  <c r="F859" i="1" s="1"/>
  <c r="G806" i="1" a="1"/>
  <c r="G806" i="1" s="1"/>
  <c r="G829" i="1" a="1"/>
  <c r="G829" i="1" s="1"/>
  <c r="F850" i="1" a="1"/>
  <c r="F850" i="1" s="1"/>
  <c r="G258" i="1" a="1"/>
  <c r="G258" i="1" s="1"/>
  <c r="G274" i="1" a="1"/>
  <c r="G274" i="1" s="1"/>
  <c r="F304" i="1" a="1"/>
  <c r="F304" i="1" s="1"/>
  <c r="F320" i="1" a="1"/>
  <c r="F320" i="1" s="1"/>
  <c r="G265" i="1" a="1"/>
  <c r="G265" i="1" s="1"/>
  <c r="G263" i="1" a="1"/>
  <c r="G263" i="1" s="1"/>
  <c r="G279" i="1" a="1"/>
  <c r="G279" i="1" s="1"/>
  <c r="F293" i="1" a="1"/>
  <c r="F293" i="1" s="1"/>
  <c r="F309" i="1" a="1"/>
  <c r="F309" i="1" s="1"/>
  <c r="G270" i="1" a="1"/>
  <c r="G270" i="1" s="1"/>
  <c r="G286" i="1" a="1"/>
  <c r="G286" i="1" s="1"/>
  <c r="F300" i="1" a="1"/>
  <c r="F300" i="1" s="1"/>
  <c r="F316" i="1" a="1"/>
  <c r="F316" i="1" s="1"/>
  <c r="G268" i="1" a="1"/>
  <c r="G268" i="1" s="1"/>
  <c r="G284" i="1" a="1"/>
  <c r="G284" i="1" s="1"/>
  <c r="F298" i="1" a="1"/>
  <c r="F298" i="1" s="1"/>
  <c r="F314" i="1" a="1"/>
  <c r="F314" i="1" s="1"/>
  <c r="G266" i="1" a="1"/>
  <c r="G266" i="1" s="1"/>
  <c r="G282" i="1" a="1"/>
  <c r="G282" i="1" s="1"/>
  <c r="F296" i="1" a="1"/>
  <c r="F296" i="1" s="1"/>
  <c r="G280" i="1" a="1"/>
  <c r="G280" i="1" s="1"/>
  <c r="G283" i="1" a="1"/>
  <c r="G283" i="1" s="1"/>
  <c r="F290" i="1" a="1"/>
  <c r="F290" i="1" s="1"/>
  <c r="G262" i="1" a="1"/>
  <c r="G262" i="1" s="1"/>
  <c r="G277" i="1" a="1"/>
  <c r="G277" i="1" s="1"/>
  <c r="G287" i="1" a="1"/>
  <c r="G287" i="1" s="1"/>
  <c r="F294" i="1" a="1"/>
  <c r="F294" i="1" s="1"/>
  <c r="F297" i="1" a="1"/>
  <c r="F297" i="1" s="1"/>
  <c r="F319" i="1" a="1"/>
  <c r="F319" i="1" s="1"/>
  <c r="F307" i="1" a="1"/>
  <c r="F307" i="1" s="1"/>
  <c r="F310" i="1" a="1"/>
  <c r="F310" i="1" s="1"/>
  <c r="F291" i="1" a="1"/>
  <c r="F291" i="1" s="1"/>
  <c r="F301" i="1" a="1"/>
  <c r="F301" i="1" s="1"/>
  <c r="F313" i="1" a="1"/>
  <c r="F313" i="1" s="1"/>
  <c r="G271" i="1" a="1"/>
  <c r="G271" i="1" s="1"/>
  <c r="G259" i="1" a="1"/>
  <c r="G259" i="1" s="1"/>
  <c r="G281" i="1" a="1"/>
  <c r="G281" i="1" s="1"/>
  <c r="G267" i="1" a="1"/>
  <c r="G267" i="1" s="1"/>
  <c r="G278" i="1" a="1"/>
  <c r="G278" i="1" s="1"/>
  <c r="G275" i="1" a="1"/>
  <c r="G275" i="1" s="1"/>
  <c r="G288" i="1" a="1"/>
  <c r="G288" i="1" s="1"/>
  <c r="F295" i="1" a="1"/>
  <c r="F295" i="1" s="1"/>
  <c r="F305" i="1" a="1"/>
  <c r="F305" i="1" s="1"/>
  <c r="F317" i="1" a="1"/>
  <c r="F317" i="1" s="1"/>
  <c r="G264" i="1" a="1"/>
  <c r="G264" i="1" s="1"/>
  <c r="G285" i="1" a="1"/>
  <c r="G285" i="1" s="1"/>
  <c r="F292" i="1" a="1"/>
  <c r="F292" i="1" s="1"/>
  <c r="F308" i="1" a="1"/>
  <c r="F308" i="1" s="1"/>
  <c r="F311" i="1" a="1"/>
  <c r="F311" i="1" s="1"/>
  <c r="F302" i="1" a="1"/>
  <c r="F302" i="1" s="1"/>
  <c r="G260" i="1" a="1"/>
  <c r="G260" i="1" s="1"/>
  <c r="G272" i="1" a="1"/>
  <c r="G272" i="1" s="1"/>
  <c r="G289" i="1" a="1"/>
  <c r="G289" i="1" s="1"/>
  <c r="F299" i="1" a="1"/>
  <c r="F299" i="1" s="1"/>
  <c r="G261" i="1" a="1"/>
  <c r="G261" i="1" s="1"/>
  <c r="F312" i="1" a="1"/>
  <c r="F312" i="1" s="1"/>
  <c r="G269" i="1" a="1"/>
  <c r="G269" i="1" s="1"/>
  <c r="G273" i="1" a="1"/>
  <c r="G273" i="1" s="1"/>
  <c r="G276" i="1" a="1"/>
  <c r="G276" i="1" s="1"/>
  <c r="F303" i="1" a="1"/>
  <c r="F303" i="1" s="1"/>
  <c r="F315" i="1" a="1"/>
  <c r="F315" i="1" s="1"/>
  <c r="F318" i="1" a="1"/>
  <c r="F318" i="1" s="1"/>
  <c r="F321" i="1" a="1"/>
  <c r="F321" i="1" s="1"/>
  <c r="F306" i="1" a="1"/>
  <c r="F306" i="1" s="1"/>
  <c r="G967" i="1" a="1"/>
  <c r="G967" i="1" s="1"/>
  <c r="H967" i="1" s="1"/>
  <c r="I967" i="1" s="1"/>
  <c r="G983" i="1" a="1"/>
  <c r="G983" i="1" s="1"/>
  <c r="H983" i="1" s="1"/>
  <c r="I983" i="1" s="1"/>
  <c r="F997" i="1" a="1"/>
  <c r="F997" i="1" s="1"/>
  <c r="F1013" i="1" a="1"/>
  <c r="F1013" i="1" s="1"/>
  <c r="G974" i="1" a="1"/>
  <c r="G974" i="1" s="1"/>
  <c r="G990" i="1" a="1"/>
  <c r="G990" i="1" s="1"/>
  <c r="F1004" i="1" a="1"/>
  <c r="F1004" i="1" s="1"/>
  <c r="F1020" i="1" a="1"/>
  <c r="F1020" i="1" s="1"/>
  <c r="G965" i="1" a="1"/>
  <c r="G965" i="1" s="1"/>
  <c r="H965" i="1" s="1"/>
  <c r="I965" i="1" s="1"/>
  <c r="G981" i="1" a="1"/>
  <c r="G981" i="1" s="1"/>
  <c r="H981" i="1" s="1"/>
  <c r="I981" i="1" s="1"/>
  <c r="F995" i="1" a="1"/>
  <c r="F995" i="1" s="1"/>
  <c r="F1011" i="1" a="1"/>
  <c r="F1011" i="1" s="1"/>
  <c r="G972" i="1" a="1"/>
  <c r="G972" i="1" s="1"/>
  <c r="H972" i="1" s="1"/>
  <c r="I972" i="1" s="1"/>
  <c r="G963" i="1" a="1"/>
  <c r="G963" i="1" s="1"/>
  <c r="H963" i="1" s="1"/>
  <c r="I963" i="1" s="1"/>
  <c r="G979" i="1" a="1"/>
  <c r="G979" i="1" s="1"/>
  <c r="F1009" i="1" a="1"/>
  <c r="F1009" i="1" s="1"/>
  <c r="F1025" i="1" a="1"/>
  <c r="F1025" i="1" s="1"/>
  <c r="G970" i="1" a="1"/>
  <c r="G970" i="1" s="1"/>
  <c r="G986" i="1" a="1"/>
  <c r="G986" i="1" s="1"/>
  <c r="F1000" i="1" a="1"/>
  <c r="F1000" i="1" s="1"/>
  <c r="F1016" i="1" a="1"/>
  <c r="F1016" i="1" s="1"/>
  <c r="H1016" i="1" s="1"/>
  <c r="I1016" i="1" s="1"/>
  <c r="G977" i="1" a="1"/>
  <c r="G977" i="1" s="1"/>
  <c r="H977" i="1" s="1"/>
  <c r="I977" i="1" s="1"/>
  <c r="G993" i="1" a="1"/>
  <c r="G993" i="1" s="1"/>
  <c r="H993" i="1" s="1"/>
  <c r="I993" i="1" s="1"/>
  <c r="F1007" i="1" a="1"/>
  <c r="F1007" i="1" s="1"/>
  <c r="F1023" i="1" a="1"/>
  <c r="F1023" i="1" s="1"/>
  <c r="G968" i="1" a="1"/>
  <c r="G968" i="1" s="1"/>
  <c r="H968" i="1" s="1"/>
  <c r="I968" i="1" s="1"/>
  <c r="G984" i="1" a="1"/>
  <c r="G984" i="1" s="1"/>
  <c r="H984" i="1" s="1"/>
  <c r="I984" i="1" s="1"/>
  <c r="G975" i="1" a="1"/>
  <c r="G975" i="1" s="1"/>
  <c r="H975" i="1" s="1"/>
  <c r="I975" i="1" s="1"/>
  <c r="G991" i="1" a="1"/>
  <c r="G991" i="1" s="1"/>
  <c r="F1005" i="1" a="1"/>
  <c r="F1005" i="1" s="1"/>
  <c r="F1021" i="1" a="1"/>
  <c r="F1021" i="1" s="1"/>
  <c r="H1021" i="1" s="1"/>
  <c r="I1021" i="1" s="1"/>
  <c r="G966" i="1" a="1"/>
  <c r="G966" i="1" s="1"/>
  <c r="G982" i="1" a="1"/>
  <c r="G982" i="1" s="1"/>
  <c r="F996" i="1" a="1"/>
  <c r="F996" i="1" s="1"/>
  <c r="F1012" i="1" a="1"/>
  <c r="F1012" i="1" s="1"/>
  <c r="G973" i="1" a="1"/>
  <c r="G973" i="1" s="1"/>
  <c r="H973" i="1" s="1"/>
  <c r="I973" i="1" s="1"/>
  <c r="G989" i="1" a="1"/>
  <c r="G989" i="1" s="1"/>
  <c r="H989" i="1" s="1"/>
  <c r="I989" i="1" s="1"/>
  <c r="F1003" i="1" a="1"/>
  <c r="F1003" i="1" s="1"/>
  <c r="F1019" i="1" a="1"/>
  <c r="F1019" i="1" s="1"/>
  <c r="G964" i="1" a="1"/>
  <c r="G964" i="1" s="1"/>
  <c r="H964" i="1" s="1"/>
  <c r="I964" i="1" s="1"/>
  <c r="G980" i="1" a="1"/>
  <c r="G980" i="1" s="1"/>
  <c r="H980" i="1" s="1"/>
  <c r="I980" i="1" s="1"/>
  <c r="F994" i="1" a="1"/>
  <c r="F994" i="1" s="1"/>
  <c r="G971" i="1" a="1"/>
  <c r="G971" i="1" s="1"/>
  <c r="H971" i="1" s="1"/>
  <c r="I971" i="1" s="1"/>
  <c r="G962" i="1" a="1"/>
  <c r="G962" i="1" s="1"/>
  <c r="G978" i="1" a="1"/>
  <c r="G978" i="1" s="1"/>
  <c r="F1008" i="1" a="1"/>
  <c r="F1008" i="1" s="1"/>
  <c r="F1024" i="1" a="1"/>
  <c r="F1024" i="1" s="1"/>
  <c r="G969" i="1" a="1"/>
  <c r="G969" i="1" s="1"/>
  <c r="H969" i="1" s="1"/>
  <c r="I969" i="1" s="1"/>
  <c r="G985" i="1" a="1"/>
  <c r="G985" i="1" s="1"/>
  <c r="H985" i="1" s="1"/>
  <c r="I985" i="1" s="1"/>
  <c r="F999" i="1" a="1"/>
  <c r="F999" i="1" s="1"/>
  <c r="F1015" i="1" a="1"/>
  <c r="F1015" i="1" s="1"/>
  <c r="F1002" i="1" a="1"/>
  <c r="F1002" i="1" s="1"/>
  <c r="G987" i="1" a="1"/>
  <c r="G987" i="1" s="1"/>
  <c r="H987" i="1" s="1"/>
  <c r="I987" i="1" s="1"/>
  <c r="F1006" i="1" a="1"/>
  <c r="F1006" i="1" s="1"/>
  <c r="F1014" i="1" a="1"/>
  <c r="F1014" i="1" s="1"/>
  <c r="F1018" i="1" a="1"/>
  <c r="F1018" i="1" s="1"/>
  <c r="G988" i="1" a="1"/>
  <c r="G988" i="1" s="1"/>
  <c r="H988" i="1" s="1"/>
  <c r="I988" i="1" s="1"/>
  <c r="F998" i="1" a="1"/>
  <c r="F998" i="1" s="1"/>
  <c r="F1022" i="1" a="1"/>
  <c r="F1022" i="1" s="1"/>
  <c r="H1022" i="1" s="1"/>
  <c r="I1022" i="1" s="1"/>
  <c r="G976" i="1" a="1"/>
  <c r="G976" i="1" s="1"/>
  <c r="H976" i="1" s="1"/>
  <c r="I976" i="1" s="1"/>
  <c r="F1001" i="1" a="1"/>
  <c r="F1001" i="1" s="1"/>
  <c r="F1010" i="1" a="1"/>
  <c r="F1010" i="1" s="1"/>
  <c r="F1017" i="1" a="1"/>
  <c r="F1017" i="1" s="1"/>
  <c r="G992" i="1" a="1"/>
  <c r="G992" i="1" s="1"/>
  <c r="H992" i="1" s="1"/>
  <c r="I992" i="1" s="1"/>
  <c r="G834" i="1" a="1"/>
  <c r="G834" i="1" s="1"/>
  <c r="G850" i="1" a="1"/>
  <c r="G850" i="1" s="1"/>
  <c r="F880" i="1" a="1"/>
  <c r="F880" i="1" s="1"/>
  <c r="F896" i="1" a="1"/>
  <c r="F896" i="1" s="1"/>
  <c r="G841" i="1" a="1"/>
  <c r="G841" i="1" s="1"/>
  <c r="G857" i="1" a="1"/>
  <c r="G857" i="1" s="1"/>
  <c r="F871" i="1" a="1"/>
  <c r="F871" i="1" s="1"/>
  <c r="F887" i="1" a="1"/>
  <c r="F887" i="1" s="1"/>
  <c r="G848" i="1" a="1"/>
  <c r="G848" i="1" s="1"/>
  <c r="G864" i="1" a="1"/>
  <c r="G864" i="1" s="1"/>
  <c r="F878" i="1" a="1"/>
  <c r="F878" i="1" s="1"/>
  <c r="G846" i="1" a="1"/>
  <c r="G846" i="1" s="1"/>
  <c r="G862" i="1" a="1"/>
  <c r="G862" i="1" s="1"/>
  <c r="F876" i="1" a="1"/>
  <c r="F876" i="1" s="1"/>
  <c r="F892" i="1" a="1"/>
  <c r="F892" i="1" s="1"/>
  <c r="G837" i="1" a="1"/>
  <c r="G837" i="1" s="1"/>
  <c r="G853" i="1" a="1"/>
  <c r="G853" i="1" s="1"/>
  <c r="F867" i="1" a="1"/>
  <c r="F867" i="1" s="1"/>
  <c r="F883" i="1" a="1"/>
  <c r="F883" i="1" s="1"/>
  <c r="G844" i="1" a="1"/>
  <c r="G844" i="1" s="1"/>
  <c r="G860" i="1" a="1"/>
  <c r="G860" i="1" s="1"/>
  <c r="F874" i="1" a="1"/>
  <c r="F874" i="1" s="1"/>
  <c r="G842" i="1" a="1"/>
  <c r="G842" i="1" s="1"/>
  <c r="H842" i="1" s="1"/>
  <c r="I842" i="1" s="1"/>
  <c r="G858" i="1" a="1"/>
  <c r="G858" i="1" s="1"/>
  <c r="H858" i="1" s="1"/>
  <c r="I858" i="1" s="1"/>
  <c r="F872" i="1" a="1"/>
  <c r="F872" i="1" s="1"/>
  <c r="F888" i="1" a="1"/>
  <c r="F888" i="1" s="1"/>
  <c r="G840" i="1" a="1"/>
  <c r="G840" i="1" s="1"/>
  <c r="G856" i="1" a="1"/>
  <c r="G856" i="1" s="1"/>
  <c r="F870" i="1" a="1"/>
  <c r="F870" i="1" s="1"/>
  <c r="G847" i="1" a="1"/>
  <c r="G847" i="1" s="1"/>
  <c r="G836" i="1" a="1"/>
  <c r="G836" i="1" s="1"/>
  <c r="G855" i="1" a="1"/>
  <c r="G855" i="1" s="1"/>
  <c r="H855" i="1" s="1"/>
  <c r="I855" i="1" s="1"/>
  <c r="F869" i="1" a="1"/>
  <c r="F869" i="1" s="1"/>
  <c r="F873" i="1" a="1"/>
  <c r="F873" i="1" s="1"/>
  <c r="F885" i="1" a="1"/>
  <c r="F885" i="1" s="1"/>
  <c r="G838" i="1" a="1"/>
  <c r="G838" i="1" s="1"/>
  <c r="H838" i="1" s="1"/>
  <c r="I838" i="1" s="1"/>
  <c r="G845" i="1" a="1"/>
  <c r="G845" i="1" s="1"/>
  <c r="G851" i="1" a="1"/>
  <c r="G851" i="1" s="1"/>
  <c r="G865" i="1" a="1"/>
  <c r="G865" i="1" s="1"/>
  <c r="F895" i="1" a="1"/>
  <c r="F895" i="1" s="1"/>
  <c r="F882" i="1" a="1"/>
  <c r="F882" i="1" s="1"/>
  <c r="F886" i="1" a="1"/>
  <c r="F886" i="1" s="1"/>
  <c r="F889" i="1" a="1"/>
  <c r="F889" i="1" s="1"/>
  <c r="G839" i="1" a="1"/>
  <c r="G839" i="1" s="1"/>
  <c r="G861" i="1" a="1"/>
  <c r="G861" i="1" s="1"/>
  <c r="F879" i="1" a="1"/>
  <c r="F879" i="1" s="1"/>
  <c r="G852" i="1" a="1"/>
  <c r="G852" i="1" s="1"/>
  <c r="H852" i="1" s="1"/>
  <c r="I852" i="1" s="1"/>
  <c r="F866" i="1" a="1"/>
  <c r="F866" i="1" s="1"/>
  <c r="F875" i="1" a="1"/>
  <c r="F875" i="1" s="1"/>
  <c r="F890" i="1" a="1"/>
  <c r="F890" i="1" s="1"/>
  <c r="F893" i="1" a="1"/>
  <c r="F893" i="1" s="1"/>
  <c r="G863" i="1" a="1"/>
  <c r="G863" i="1" s="1"/>
  <c r="F884" i="1" a="1"/>
  <c r="F884" i="1" s="1"/>
  <c r="G835" i="1" a="1"/>
  <c r="G835" i="1" s="1"/>
  <c r="G849" i="1" a="1"/>
  <c r="G849" i="1" s="1"/>
  <c r="G854" i="1" a="1"/>
  <c r="G854" i="1" s="1"/>
  <c r="F868" i="1" a="1"/>
  <c r="F868" i="1" s="1"/>
  <c r="F897" i="1" a="1"/>
  <c r="F897" i="1" s="1"/>
  <c r="F881" i="1" a="1"/>
  <c r="F881" i="1" s="1"/>
  <c r="F894" i="1" a="1"/>
  <c r="F894" i="1" s="1"/>
  <c r="G843" i="1" a="1"/>
  <c r="G843" i="1" s="1"/>
  <c r="F877" i="1" a="1"/>
  <c r="F877" i="1" s="1"/>
  <c r="F891" i="1" a="1"/>
  <c r="F891" i="1" s="1"/>
  <c r="G859" i="1" a="1"/>
  <c r="G859" i="1" s="1"/>
  <c r="G623" i="1" a="1"/>
  <c r="G623" i="1" s="1"/>
  <c r="G610" i="1" a="1"/>
  <c r="G610" i="1" s="1"/>
  <c r="G628" i="1" a="1"/>
  <c r="G628" i="1" s="1"/>
  <c r="F656" i="1" a="1"/>
  <c r="F656" i="1" s="1"/>
  <c r="F672" i="1" a="1"/>
  <c r="F672" i="1" s="1"/>
  <c r="G633" i="1" a="1"/>
  <c r="G633" i="1" s="1"/>
  <c r="F647" i="1" a="1"/>
  <c r="F647" i="1" s="1"/>
  <c r="F663" i="1" a="1"/>
  <c r="F663" i="1" s="1"/>
  <c r="G616" i="1" a="1"/>
  <c r="G616" i="1" s="1"/>
  <c r="G621" i="1" a="1"/>
  <c r="G621" i="1" s="1"/>
  <c r="G640" i="1" a="1"/>
  <c r="G640" i="1" s="1"/>
  <c r="G611" i="1" a="1"/>
  <c r="G611" i="1" s="1"/>
  <c r="G626" i="1" a="1"/>
  <c r="G626" i="1" s="1"/>
  <c r="F645" i="1" a="1"/>
  <c r="F645" i="1" s="1"/>
  <c r="F661" i="1" a="1"/>
  <c r="F661" i="1" s="1"/>
  <c r="G631" i="1" a="1"/>
  <c r="G631" i="1" s="1"/>
  <c r="G638" i="1" a="1"/>
  <c r="G638" i="1" s="1"/>
  <c r="F652" i="1" a="1"/>
  <c r="F652" i="1" s="1"/>
  <c r="F668" i="1" a="1"/>
  <c r="F668" i="1" s="1"/>
  <c r="G614" i="1" a="1"/>
  <c r="G614" i="1" s="1"/>
  <c r="G619" i="1" a="1"/>
  <c r="G619" i="1" s="1"/>
  <c r="F643" i="1" a="1"/>
  <c r="F643" i="1" s="1"/>
  <c r="F659" i="1" a="1"/>
  <c r="F659" i="1" s="1"/>
  <c r="G624" i="1" a="1"/>
  <c r="G624" i="1" s="1"/>
  <c r="G636" i="1" a="1"/>
  <c r="G636" i="1" s="1"/>
  <c r="F650" i="1" a="1"/>
  <c r="F650" i="1" s="1"/>
  <c r="F666" i="1" a="1"/>
  <c r="F666" i="1" s="1"/>
  <c r="G629" i="1" a="1"/>
  <c r="G629" i="1" s="1"/>
  <c r="F657" i="1" a="1"/>
  <c r="F657" i="1" s="1"/>
  <c r="F673" i="1" a="1"/>
  <c r="F673" i="1" s="1"/>
  <c r="G617" i="1" a="1"/>
  <c r="G617" i="1" s="1"/>
  <c r="G634" i="1" a="1"/>
  <c r="G634" i="1" s="1"/>
  <c r="F648" i="1" a="1"/>
  <c r="F648" i="1" s="1"/>
  <c r="F664" i="1" a="1"/>
  <c r="F664" i="1" s="1"/>
  <c r="G612" i="1" a="1"/>
  <c r="G612" i="1" s="1"/>
  <c r="G622" i="1" a="1"/>
  <c r="G622" i="1" s="1"/>
  <c r="G641" i="1" a="1"/>
  <c r="G641" i="1" s="1"/>
  <c r="F655" i="1" a="1"/>
  <c r="F655" i="1" s="1"/>
  <c r="F671" i="1" a="1"/>
  <c r="F671" i="1" s="1"/>
  <c r="G627" i="1" a="1"/>
  <c r="G627" i="1" s="1"/>
  <c r="F646" i="1" a="1"/>
  <c r="F646" i="1" s="1"/>
  <c r="F662" i="1" a="1"/>
  <c r="F662" i="1" s="1"/>
  <c r="G615" i="1" a="1"/>
  <c r="G615" i="1" s="1"/>
  <c r="G632" i="1" a="1"/>
  <c r="G632" i="1" s="1"/>
  <c r="G639" i="1" a="1"/>
  <c r="G639" i="1" s="1"/>
  <c r="F653" i="1" a="1"/>
  <c r="F653" i="1" s="1"/>
  <c r="G625" i="1" a="1"/>
  <c r="G625" i="1" s="1"/>
  <c r="G630" i="1" a="1"/>
  <c r="G630" i="1" s="1"/>
  <c r="G637" i="1" a="1"/>
  <c r="G637" i="1" s="1"/>
  <c r="F651" i="1" a="1"/>
  <c r="F651" i="1" s="1"/>
  <c r="F642" i="1" a="1"/>
  <c r="F642" i="1" s="1"/>
  <c r="F658" i="1" a="1"/>
  <c r="F658" i="1" s="1"/>
  <c r="F669" i="1" a="1"/>
  <c r="F669" i="1" s="1"/>
  <c r="G635" i="1" a="1"/>
  <c r="G635" i="1" s="1"/>
  <c r="G618" i="1" a="1"/>
  <c r="G618" i="1" s="1"/>
  <c r="G620" i="1" a="1"/>
  <c r="G620" i="1" s="1"/>
  <c r="F654" i="1" a="1"/>
  <c r="F654" i="1" s="1"/>
  <c r="F670" i="1" a="1"/>
  <c r="F670" i="1" s="1"/>
  <c r="F644" i="1" a="1"/>
  <c r="F644" i="1" s="1"/>
  <c r="F665" i="1" a="1"/>
  <c r="F665" i="1" s="1"/>
  <c r="F649" i="1" a="1"/>
  <c r="F649" i="1" s="1"/>
  <c r="F660" i="1" a="1"/>
  <c r="F660" i="1" s="1"/>
  <c r="G613" i="1" a="1"/>
  <c r="G613" i="1" s="1"/>
  <c r="F667" i="1" a="1"/>
  <c r="F667" i="1" s="1"/>
  <c r="G591" i="1" a="1"/>
  <c r="G591" i="1" s="1"/>
  <c r="G607" i="1" a="1"/>
  <c r="G607" i="1" s="1"/>
  <c r="F621" i="1" a="1"/>
  <c r="F621" i="1" s="1"/>
  <c r="G587" i="1" a="1"/>
  <c r="G587" i="1" s="1"/>
  <c r="G578" i="1" a="1"/>
  <c r="G578" i="1" s="1"/>
  <c r="G594" i="1" a="1"/>
  <c r="G594" i="1" s="1"/>
  <c r="G584" i="1" a="1"/>
  <c r="G584" i="1" s="1"/>
  <c r="G600" i="1" a="1"/>
  <c r="G600" i="1" s="1"/>
  <c r="G608" i="1" a="1"/>
  <c r="G608" i="1" s="1"/>
  <c r="F616" i="1" a="1"/>
  <c r="F616" i="1" s="1"/>
  <c r="F640" i="1" a="1"/>
  <c r="F640" i="1" s="1"/>
  <c r="G595" i="1" a="1"/>
  <c r="G595" i="1" s="1"/>
  <c r="F611" i="1" a="1"/>
  <c r="F611" i="1" s="1"/>
  <c r="F626" i="1" a="1"/>
  <c r="F626" i="1" s="1"/>
  <c r="G590" i="1" a="1"/>
  <c r="G590" i="1" s="1"/>
  <c r="G603" i="1" a="1"/>
  <c r="G603" i="1" s="1"/>
  <c r="F631" i="1" a="1"/>
  <c r="F631" i="1" s="1"/>
  <c r="F638" i="1" a="1"/>
  <c r="F638" i="1" s="1"/>
  <c r="G579" i="1" a="1"/>
  <c r="G579" i="1" s="1"/>
  <c r="G598" i="1" a="1"/>
  <c r="G598" i="1" s="1"/>
  <c r="F619" i="1" a="1"/>
  <c r="F619" i="1" s="1"/>
  <c r="G582" i="1" a="1"/>
  <c r="G582" i="1" s="1"/>
  <c r="G585" i="1" a="1"/>
  <c r="G585" i="1" s="1"/>
  <c r="G606" i="1" a="1"/>
  <c r="G606" i="1" s="1"/>
  <c r="F614" i="1" a="1"/>
  <c r="F614" i="1" s="1"/>
  <c r="F624" i="1" a="1"/>
  <c r="F624" i="1" s="1"/>
  <c r="F636" i="1" a="1"/>
  <c r="F636" i="1" s="1"/>
  <c r="G593" i="1" a="1"/>
  <c r="G593" i="1" s="1"/>
  <c r="G601" i="1" a="1"/>
  <c r="G601" i="1" s="1"/>
  <c r="F629" i="1" a="1"/>
  <c r="F629" i="1" s="1"/>
  <c r="G588" i="1" a="1"/>
  <c r="G588" i="1" s="1"/>
  <c r="F617" i="1" a="1"/>
  <c r="F617" i="1" s="1"/>
  <c r="F634" i="1" a="1"/>
  <c r="F634" i="1" s="1"/>
  <c r="G596" i="1" a="1"/>
  <c r="G596" i="1" s="1"/>
  <c r="G609" i="1" a="1"/>
  <c r="G609" i="1" s="1"/>
  <c r="F612" i="1" a="1"/>
  <c r="F612" i="1" s="1"/>
  <c r="F622" i="1" a="1"/>
  <c r="F622" i="1" s="1"/>
  <c r="F641" i="1" a="1"/>
  <c r="F641" i="1" s="1"/>
  <c r="G604" i="1" a="1"/>
  <c r="G604" i="1" s="1"/>
  <c r="F627" i="1" a="1"/>
  <c r="F627" i="1" s="1"/>
  <c r="G580" i="1" a="1"/>
  <c r="G580" i="1" s="1"/>
  <c r="G583" i="1" a="1"/>
  <c r="G583" i="1" s="1"/>
  <c r="G599" i="1" a="1"/>
  <c r="G599" i="1" s="1"/>
  <c r="F615" i="1" a="1"/>
  <c r="F615" i="1" s="1"/>
  <c r="F632" i="1" a="1"/>
  <c r="F632" i="1" s="1"/>
  <c r="F639" i="1" a="1"/>
  <c r="F639" i="1" s="1"/>
  <c r="F620" i="1" a="1"/>
  <c r="F620" i="1" s="1"/>
  <c r="G586" i="1" a="1"/>
  <c r="G586" i="1" s="1"/>
  <c r="F610" i="1" a="1"/>
  <c r="F610" i="1" s="1"/>
  <c r="F625" i="1" a="1"/>
  <c r="F625" i="1" s="1"/>
  <c r="F637" i="1" a="1"/>
  <c r="F637" i="1" s="1"/>
  <c r="G597" i="1" a="1"/>
  <c r="G597" i="1" s="1"/>
  <c r="F613" i="1" a="1"/>
  <c r="F613" i="1" s="1"/>
  <c r="F618" i="1" a="1"/>
  <c r="F618" i="1" s="1"/>
  <c r="F635" i="1" a="1"/>
  <c r="F635" i="1" s="1"/>
  <c r="G581" i="1" a="1"/>
  <c r="G581" i="1" s="1"/>
  <c r="G592" i="1" a="1"/>
  <c r="G592" i="1" s="1"/>
  <c r="G605" i="1" a="1"/>
  <c r="G605" i="1" s="1"/>
  <c r="F623" i="1" a="1"/>
  <c r="F623" i="1" s="1"/>
  <c r="F628" i="1" a="1"/>
  <c r="F628" i="1" s="1"/>
  <c r="G602" i="1" a="1"/>
  <c r="G602" i="1" s="1"/>
  <c r="G589" i="1" a="1"/>
  <c r="G589" i="1" s="1"/>
  <c r="F630" i="1" a="1"/>
  <c r="F630" i="1" s="1"/>
  <c r="F633" i="1" a="1"/>
  <c r="F633" i="1" s="1"/>
  <c r="G529" i="1" a="1"/>
  <c r="G529" i="1" s="1"/>
  <c r="G545" i="1" a="1"/>
  <c r="G545" i="1" s="1"/>
  <c r="F559" i="1" a="1"/>
  <c r="F559" i="1" s="1"/>
  <c r="G518" i="1" a="1"/>
  <c r="G518" i="1" s="1"/>
  <c r="G534" i="1" a="1"/>
  <c r="G534" i="1" s="1"/>
  <c r="G525" i="1" a="1"/>
  <c r="G525" i="1" s="1"/>
  <c r="G526" i="1" a="1"/>
  <c r="G526" i="1" s="1"/>
  <c r="G537" i="1" a="1"/>
  <c r="G537" i="1" s="1"/>
  <c r="F547" i="1" a="1"/>
  <c r="F547" i="1" s="1"/>
  <c r="F573" i="1" a="1"/>
  <c r="F573" i="1" s="1"/>
  <c r="G515" i="1" a="1"/>
  <c r="G515" i="1" s="1"/>
  <c r="G521" i="1" a="1"/>
  <c r="G521" i="1" s="1"/>
  <c r="F550" i="1" a="1"/>
  <c r="F550" i="1" s="1"/>
  <c r="F562" i="1" a="1"/>
  <c r="F562" i="1" s="1"/>
  <c r="G535" i="1" a="1"/>
  <c r="G535" i="1" s="1"/>
  <c r="G540" i="1" a="1"/>
  <c r="G540" i="1" s="1"/>
  <c r="F555" i="1" a="1"/>
  <c r="F555" i="1" s="1"/>
  <c r="F569" i="1" a="1"/>
  <c r="F569" i="1" s="1"/>
  <c r="G524" i="1" a="1"/>
  <c r="G524" i="1" s="1"/>
  <c r="F560" i="1" a="1"/>
  <c r="F560" i="1" s="1"/>
  <c r="F576" i="1" a="1"/>
  <c r="F576" i="1" s="1"/>
  <c r="G516" i="1" a="1"/>
  <c r="G516" i="1" s="1"/>
  <c r="G527" i="1" a="1"/>
  <c r="G527" i="1" s="1"/>
  <c r="G530" i="1" a="1"/>
  <c r="G530" i="1" s="1"/>
  <c r="F548" i="1" a="1"/>
  <c r="F548" i="1" s="1"/>
  <c r="G538" i="1" a="1"/>
  <c r="G538" i="1" s="1"/>
  <c r="G543" i="1" a="1"/>
  <c r="G543" i="1" s="1"/>
  <c r="F553" i="1" a="1"/>
  <c r="F553" i="1" s="1"/>
  <c r="G519" i="1" a="1"/>
  <c r="G519" i="1" s="1"/>
  <c r="G533" i="1" a="1"/>
  <c r="G533" i="1" s="1"/>
  <c r="F546" i="1" a="1"/>
  <c r="F546" i="1" s="1"/>
  <c r="G522" i="1" a="1"/>
  <c r="G522" i="1" s="1"/>
  <c r="G536" i="1" a="1"/>
  <c r="G536" i="1" s="1"/>
  <c r="G514" i="1" a="1"/>
  <c r="G514" i="1" s="1"/>
  <c r="G528" i="1" a="1"/>
  <c r="G528" i="1" s="1"/>
  <c r="G517" i="1" a="1"/>
  <c r="G517" i="1" s="1"/>
  <c r="F554" i="1" a="1"/>
  <c r="F554" i="1" s="1"/>
  <c r="G544" i="1" a="1"/>
  <c r="G544" i="1" s="1"/>
  <c r="F565" i="1" a="1"/>
  <c r="F565" i="1" s="1"/>
  <c r="F551" i="1" a="1"/>
  <c r="F551" i="1" s="1"/>
  <c r="F568" i="1" a="1"/>
  <c r="F568" i="1" s="1"/>
  <c r="G520" i="1" a="1"/>
  <c r="G520" i="1" s="1"/>
  <c r="G531" i="1" a="1"/>
  <c r="G531" i="1" s="1"/>
  <c r="G539" i="1" a="1"/>
  <c r="G539" i="1" s="1"/>
  <c r="F571" i="1" a="1"/>
  <c r="F571" i="1" s="1"/>
  <c r="F574" i="1" a="1"/>
  <c r="F574" i="1" s="1"/>
  <c r="F577" i="1" a="1"/>
  <c r="F577" i="1" s="1"/>
  <c r="G532" i="1" a="1"/>
  <c r="G532" i="1" s="1"/>
  <c r="F556" i="1" a="1"/>
  <c r="F556" i="1" s="1"/>
  <c r="F563" i="1" a="1"/>
  <c r="F563" i="1" s="1"/>
  <c r="G523" i="1" a="1"/>
  <c r="G523" i="1" s="1"/>
  <c r="G541" i="1" a="1"/>
  <c r="G541" i="1" s="1"/>
  <c r="F552" i="1" a="1"/>
  <c r="F552" i="1" s="1"/>
  <c r="F566" i="1" a="1"/>
  <c r="F566" i="1" s="1"/>
  <c r="F572" i="1" a="1"/>
  <c r="F572" i="1" s="1"/>
  <c r="F575" i="1" a="1"/>
  <c r="F575" i="1" s="1"/>
  <c r="G542" i="1" a="1"/>
  <c r="G542" i="1" s="1"/>
  <c r="F549" i="1" a="1"/>
  <c r="F549" i="1" s="1"/>
  <c r="F564" i="1" a="1"/>
  <c r="F564" i="1" s="1"/>
  <c r="F561" i="1" a="1"/>
  <c r="F561" i="1" s="1"/>
  <c r="F570" i="1" a="1"/>
  <c r="F570" i="1" s="1"/>
  <c r="F557" i="1" a="1"/>
  <c r="F557" i="1" s="1"/>
  <c r="F558" i="1" a="1"/>
  <c r="F558" i="1" s="1"/>
  <c r="F567" i="1" a="1"/>
  <c r="F567" i="1" s="1"/>
  <c r="J20" i="1"/>
  <c r="K20" i="1" s="1"/>
  <c r="G554" i="1" a="1"/>
  <c r="G554" i="1" s="1"/>
  <c r="G559" i="1" a="1"/>
  <c r="G559" i="1" s="1"/>
  <c r="G575" i="1" a="1"/>
  <c r="G575" i="1" s="1"/>
  <c r="F589" i="1" a="1"/>
  <c r="F589" i="1" s="1"/>
  <c r="F605" i="1" a="1"/>
  <c r="F605" i="1" s="1"/>
  <c r="G547" i="1" a="1"/>
  <c r="G547" i="1" s="1"/>
  <c r="G557" i="1" a="1"/>
  <c r="G557" i="1" s="1"/>
  <c r="G571" i="1" a="1"/>
  <c r="G571" i="1" s="1"/>
  <c r="F585" i="1" a="1"/>
  <c r="F585" i="1" s="1"/>
  <c r="G550" i="1" a="1"/>
  <c r="G550" i="1" s="1"/>
  <c r="G562" i="1" a="1"/>
  <c r="G562" i="1" s="1"/>
  <c r="F592" i="1" a="1"/>
  <c r="F592" i="1" s="1"/>
  <c r="F608" i="1" a="1"/>
  <c r="F608" i="1" s="1"/>
  <c r="G555" i="1" a="1"/>
  <c r="G555" i="1" s="1"/>
  <c r="G548" i="1" a="1"/>
  <c r="G548" i="1" s="1"/>
  <c r="G546" i="1" a="1"/>
  <c r="G546" i="1" s="1"/>
  <c r="G561" i="1" a="1"/>
  <c r="G561" i="1" s="1"/>
  <c r="G570" i="1" a="1"/>
  <c r="G570" i="1" s="1"/>
  <c r="F590" i="1" a="1"/>
  <c r="F590" i="1" s="1"/>
  <c r="F603" i="1" a="1"/>
  <c r="F603" i="1" s="1"/>
  <c r="G558" i="1" a="1"/>
  <c r="G558" i="1" s="1"/>
  <c r="G573" i="1" a="1"/>
  <c r="G573" i="1" s="1"/>
  <c r="G576" i="1" a="1"/>
  <c r="G576" i="1" s="1"/>
  <c r="F579" i="1" a="1"/>
  <c r="F579" i="1" s="1"/>
  <c r="F598" i="1" a="1"/>
  <c r="F598" i="1" s="1"/>
  <c r="F606" i="1" a="1"/>
  <c r="F606" i="1" s="1"/>
  <c r="G565" i="1" a="1"/>
  <c r="G565" i="1" s="1"/>
  <c r="F582" i="1" a="1"/>
  <c r="F582" i="1" s="1"/>
  <c r="F593" i="1" a="1"/>
  <c r="F593" i="1" s="1"/>
  <c r="G551" i="1" a="1"/>
  <c r="G551" i="1" s="1"/>
  <c r="F588" i="1" a="1"/>
  <c r="F588" i="1" s="1"/>
  <c r="F601" i="1" a="1"/>
  <c r="F601" i="1" s="1"/>
  <c r="G568" i="1" a="1"/>
  <c r="G568" i="1" s="1"/>
  <c r="F596" i="1" a="1"/>
  <c r="F596" i="1" s="1"/>
  <c r="F609" i="1" a="1"/>
  <c r="F609" i="1" s="1"/>
  <c r="G574" i="1" a="1"/>
  <c r="G574" i="1" s="1"/>
  <c r="F604" i="1" a="1"/>
  <c r="F604" i="1" s="1"/>
  <c r="F580" i="1" a="1"/>
  <c r="F580" i="1" s="1"/>
  <c r="F583" i="1" a="1"/>
  <c r="F583" i="1" s="1"/>
  <c r="F591" i="1" a="1"/>
  <c r="F591" i="1" s="1"/>
  <c r="F599" i="1" a="1"/>
  <c r="F599" i="1" s="1"/>
  <c r="G577" i="1" a="1"/>
  <c r="G577" i="1" s="1"/>
  <c r="G552" i="1" a="1"/>
  <c r="G552" i="1" s="1"/>
  <c r="G556" i="1" a="1"/>
  <c r="G556" i="1" s="1"/>
  <c r="G560" i="1" a="1"/>
  <c r="G560" i="1" s="1"/>
  <c r="H560" i="1" s="1"/>
  <c r="I560" i="1" s="1"/>
  <c r="G563" i="1" a="1"/>
  <c r="G563" i="1" s="1"/>
  <c r="G566" i="1" a="1"/>
  <c r="G566" i="1" s="1"/>
  <c r="G569" i="1" a="1"/>
  <c r="G569" i="1" s="1"/>
  <c r="H569" i="1" s="1"/>
  <c r="I569" i="1" s="1"/>
  <c r="F586" i="1" a="1"/>
  <c r="F586" i="1" s="1"/>
  <c r="F594" i="1" a="1"/>
  <c r="F594" i="1" s="1"/>
  <c r="F607" i="1" a="1"/>
  <c r="F607" i="1" s="1"/>
  <c r="F602" i="1" a="1"/>
  <c r="F602" i="1" s="1"/>
  <c r="G553" i="1" a="1"/>
  <c r="G553" i="1" s="1"/>
  <c r="G572" i="1" a="1"/>
  <c r="G572" i="1" s="1"/>
  <c r="F597" i="1" a="1"/>
  <c r="F597" i="1" s="1"/>
  <c r="G567" i="1" a="1"/>
  <c r="G567" i="1" s="1"/>
  <c r="F584" i="1" a="1"/>
  <c r="F584" i="1" s="1"/>
  <c r="F600" i="1" a="1"/>
  <c r="F600" i="1" s="1"/>
  <c r="F595" i="1" a="1"/>
  <c r="F595" i="1" s="1"/>
  <c r="G549" i="1" a="1"/>
  <c r="G549" i="1" s="1"/>
  <c r="F578" i="1" a="1"/>
  <c r="F578" i="1" s="1"/>
  <c r="F581" i="1" a="1"/>
  <c r="F581" i="1" s="1"/>
  <c r="G564" i="1" a="1"/>
  <c r="G564" i="1" s="1"/>
  <c r="F587" i="1" a="1"/>
  <c r="F587" i="1" s="1"/>
  <c r="G770" i="1" a="1"/>
  <c r="G770" i="1" s="1"/>
  <c r="H770" i="1" s="1"/>
  <c r="I770" i="1" s="1"/>
  <c r="G786" i="1" a="1"/>
  <c r="G786" i="1" s="1"/>
  <c r="H786" i="1" s="1"/>
  <c r="I786" i="1" s="1"/>
  <c r="F816" i="1" a="1"/>
  <c r="F816" i="1" s="1"/>
  <c r="F832" i="1" a="1"/>
  <c r="F832" i="1" s="1"/>
  <c r="G777" i="1" a="1"/>
  <c r="G777" i="1" s="1"/>
  <c r="H777" i="1" s="1"/>
  <c r="I777" i="1" s="1"/>
  <c r="G793" i="1" a="1"/>
  <c r="G793" i="1" s="1"/>
  <c r="F807" i="1" a="1"/>
  <c r="F807" i="1" s="1"/>
  <c r="F823" i="1" a="1"/>
  <c r="F823" i="1" s="1"/>
  <c r="G784" i="1" a="1"/>
  <c r="G784" i="1" s="1"/>
  <c r="H784" i="1" s="1"/>
  <c r="I784" i="1" s="1"/>
  <c r="G800" i="1" a="1"/>
  <c r="G800" i="1" s="1"/>
  <c r="H800" i="1" s="1"/>
  <c r="I800" i="1" s="1"/>
  <c r="F814" i="1" a="1"/>
  <c r="F814" i="1" s="1"/>
  <c r="F830" i="1" a="1"/>
  <c r="F830" i="1" s="1"/>
  <c r="G782" i="1" a="1"/>
  <c r="G782" i="1" s="1"/>
  <c r="H782" i="1" s="1"/>
  <c r="I782" i="1" s="1"/>
  <c r="G798" i="1" a="1"/>
  <c r="G798" i="1" s="1"/>
  <c r="F812" i="1" a="1"/>
  <c r="F812" i="1" s="1"/>
  <c r="F828" i="1" a="1"/>
  <c r="F828" i="1" s="1"/>
  <c r="G773" i="1" a="1"/>
  <c r="G773" i="1" s="1"/>
  <c r="H773" i="1" s="1"/>
  <c r="I773" i="1" s="1"/>
  <c r="G789" i="1" a="1"/>
  <c r="G789" i="1" s="1"/>
  <c r="F803" i="1" a="1"/>
  <c r="F803" i="1" s="1"/>
  <c r="F819" i="1" a="1"/>
  <c r="F819" i="1" s="1"/>
  <c r="G780" i="1" a="1"/>
  <c r="G780" i="1" s="1"/>
  <c r="G796" i="1" a="1"/>
  <c r="G796" i="1" s="1"/>
  <c r="H796" i="1" s="1"/>
  <c r="I796" i="1" s="1"/>
  <c r="F810" i="1" a="1"/>
  <c r="F810" i="1" s="1"/>
  <c r="F826" i="1" a="1"/>
  <c r="F826" i="1" s="1"/>
  <c r="G771" i="1" a="1"/>
  <c r="G771" i="1" s="1"/>
  <c r="H771" i="1" s="1"/>
  <c r="I771" i="1" s="1"/>
  <c r="G787" i="1" a="1"/>
  <c r="G787" i="1" s="1"/>
  <c r="H787" i="1" s="1"/>
  <c r="I787" i="1" s="1"/>
  <c r="F817" i="1" a="1"/>
  <c r="F817" i="1" s="1"/>
  <c r="G778" i="1" a="1"/>
  <c r="G778" i="1" s="1"/>
  <c r="H778" i="1" s="1"/>
  <c r="I778" i="1" s="1"/>
  <c r="G794" i="1" a="1"/>
  <c r="G794" i="1" s="1"/>
  <c r="H794" i="1" s="1"/>
  <c r="I794" i="1" s="1"/>
  <c r="F808" i="1" a="1"/>
  <c r="F808" i="1" s="1"/>
  <c r="F824" i="1" a="1"/>
  <c r="F824" i="1" s="1"/>
  <c r="G785" i="1" a="1"/>
  <c r="G785" i="1" s="1"/>
  <c r="H785" i="1" s="1"/>
  <c r="I785" i="1" s="1"/>
  <c r="G801" i="1" a="1"/>
  <c r="G801" i="1" s="1"/>
  <c r="F815" i="1" a="1"/>
  <c r="F815" i="1" s="1"/>
  <c r="F831" i="1" a="1"/>
  <c r="F831" i="1" s="1"/>
  <c r="G776" i="1" a="1"/>
  <c r="G776" i="1" s="1"/>
  <c r="G792" i="1" a="1"/>
  <c r="G792" i="1" s="1"/>
  <c r="F806" i="1" a="1"/>
  <c r="F806" i="1" s="1"/>
  <c r="F822" i="1" a="1"/>
  <c r="F822" i="1" s="1"/>
  <c r="G783" i="1" a="1"/>
  <c r="G783" i="1" s="1"/>
  <c r="H783" i="1" s="1"/>
  <c r="I783" i="1" s="1"/>
  <c r="G799" i="1" a="1"/>
  <c r="G799" i="1" s="1"/>
  <c r="H799" i="1" s="1"/>
  <c r="I799" i="1" s="1"/>
  <c r="F813" i="1" a="1"/>
  <c r="F813" i="1" s="1"/>
  <c r="F829" i="1" a="1"/>
  <c r="F829" i="1" s="1"/>
  <c r="G781" i="1" a="1"/>
  <c r="G781" i="1" s="1"/>
  <c r="H781" i="1" s="1"/>
  <c r="I781" i="1" s="1"/>
  <c r="G797" i="1" a="1"/>
  <c r="G797" i="1" s="1"/>
  <c r="F811" i="1" a="1"/>
  <c r="F811" i="1" s="1"/>
  <c r="G772" i="1" a="1"/>
  <c r="G772" i="1" s="1"/>
  <c r="H772" i="1" s="1"/>
  <c r="I772" i="1" s="1"/>
  <c r="G788" i="1" a="1"/>
  <c r="G788" i="1" s="1"/>
  <c r="H788" i="1" s="1"/>
  <c r="I788" i="1" s="1"/>
  <c r="F802" i="1" a="1"/>
  <c r="F802" i="1" s="1"/>
  <c r="F818" i="1" a="1"/>
  <c r="F818" i="1" s="1"/>
  <c r="G795" i="1" a="1"/>
  <c r="G795" i="1" s="1"/>
  <c r="F820" i="1" a="1"/>
  <c r="F820" i="1" s="1"/>
  <c r="F809" i="1" a="1"/>
  <c r="F809" i="1" s="1"/>
  <c r="F821" i="1" a="1"/>
  <c r="F821" i="1" s="1"/>
  <c r="G774" i="1" a="1"/>
  <c r="G774" i="1" s="1"/>
  <c r="H774" i="1" s="1"/>
  <c r="I774" i="1" s="1"/>
  <c r="G775" i="1" a="1"/>
  <c r="G775" i="1" s="1"/>
  <c r="H775" i="1" s="1"/>
  <c r="I775" i="1" s="1"/>
  <c r="F825" i="1" a="1"/>
  <c r="F825" i="1" s="1"/>
  <c r="F833" i="1" a="1"/>
  <c r="F833" i="1" s="1"/>
  <c r="G790" i="1" a="1"/>
  <c r="G790" i="1" s="1"/>
  <c r="H790" i="1" s="1"/>
  <c r="I790" i="1" s="1"/>
  <c r="F827" i="1" a="1"/>
  <c r="F827" i="1" s="1"/>
  <c r="G779" i="1" a="1"/>
  <c r="G779" i="1" s="1"/>
  <c r="G791" i="1" a="1"/>
  <c r="G791" i="1" s="1"/>
  <c r="H791" i="1" s="1"/>
  <c r="I791" i="1" s="1"/>
  <c r="F804" i="1" a="1"/>
  <c r="F804" i="1" s="1"/>
  <c r="F805" i="1" a="1"/>
  <c r="F805" i="1" s="1"/>
  <c r="G465" i="1" a="1"/>
  <c r="G465" i="1" s="1"/>
  <c r="G481" i="1" a="1"/>
  <c r="G481" i="1" s="1"/>
  <c r="F495" i="1" a="1"/>
  <c r="F495" i="1" s="1"/>
  <c r="F511" i="1" a="1"/>
  <c r="F511" i="1" s="1"/>
  <c r="G454" i="1" a="1"/>
  <c r="G454" i="1" s="1"/>
  <c r="H454" i="1" s="1"/>
  <c r="I454" i="1" s="1"/>
  <c r="G470" i="1" a="1"/>
  <c r="G470" i="1" s="1"/>
  <c r="H470" i="1" s="1"/>
  <c r="I470" i="1" s="1"/>
  <c r="F484" i="1" a="1"/>
  <c r="F484" i="1" s="1"/>
  <c r="F500" i="1" a="1"/>
  <c r="F500" i="1" s="1"/>
  <c r="G461" i="1" a="1"/>
  <c r="G461" i="1" s="1"/>
  <c r="H461" i="1" s="1"/>
  <c r="I461" i="1" s="1"/>
  <c r="G477" i="1" a="1"/>
  <c r="G477" i="1" s="1"/>
  <c r="F491" i="1" a="1"/>
  <c r="F491" i="1" s="1"/>
  <c r="F507" i="1" a="1"/>
  <c r="F507" i="1" s="1"/>
  <c r="G450" i="1" a="1"/>
  <c r="G450" i="1" s="1"/>
  <c r="F487" i="1" a="1"/>
  <c r="F487" i="1" s="1"/>
  <c r="F501" i="1" a="1"/>
  <c r="F501" i="1" s="1"/>
  <c r="G453" i="1" a="1"/>
  <c r="G453" i="1" s="1"/>
  <c r="G467" i="1" a="1"/>
  <c r="G467" i="1" s="1"/>
  <c r="H467" i="1" s="1"/>
  <c r="I467" i="1" s="1"/>
  <c r="G456" i="1" a="1"/>
  <c r="G456" i="1" s="1"/>
  <c r="G459" i="1" a="1"/>
  <c r="G459" i="1" s="1"/>
  <c r="G473" i="1" a="1"/>
  <c r="G473" i="1" s="1"/>
  <c r="H473" i="1" s="1"/>
  <c r="I473" i="1" s="1"/>
  <c r="F490" i="1" a="1"/>
  <c r="F490" i="1" s="1"/>
  <c r="F504" i="1" a="1"/>
  <c r="F504" i="1" s="1"/>
  <c r="F482" i="1" a="1"/>
  <c r="F482" i="1" s="1"/>
  <c r="F493" i="1" a="1"/>
  <c r="F493" i="1" s="1"/>
  <c r="F496" i="1" a="1"/>
  <c r="F496" i="1" s="1"/>
  <c r="F510" i="1" a="1"/>
  <c r="F510" i="1" s="1"/>
  <c r="G462" i="1" a="1"/>
  <c r="G462" i="1" s="1"/>
  <c r="G476" i="1" a="1"/>
  <c r="G476" i="1" s="1"/>
  <c r="G468" i="1" a="1"/>
  <c r="G468" i="1" s="1"/>
  <c r="H468" i="1" s="1"/>
  <c r="I468" i="1" s="1"/>
  <c r="G479" i="1" a="1"/>
  <c r="G479" i="1" s="1"/>
  <c r="H479" i="1" s="1"/>
  <c r="I479" i="1" s="1"/>
  <c r="F485" i="1" a="1"/>
  <c r="F485" i="1" s="1"/>
  <c r="F499" i="1" a="1"/>
  <c r="F499" i="1" s="1"/>
  <c r="F513" i="1" a="1"/>
  <c r="F513" i="1" s="1"/>
  <c r="F502" i="1" a="1"/>
  <c r="F502" i="1" s="1"/>
  <c r="F505" i="1" a="1"/>
  <c r="F505" i="1" s="1"/>
  <c r="G451" i="1" a="1"/>
  <c r="G451" i="1" s="1"/>
  <c r="G457" i="1" a="1"/>
  <c r="G457" i="1" s="1"/>
  <c r="H457" i="1" s="1"/>
  <c r="I457" i="1" s="1"/>
  <c r="G471" i="1" a="1"/>
  <c r="G471" i="1" s="1"/>
  <c r="H471" i="1" s="1"/>
  <c r="I471" i="1" s="1"/>
  <c r="F488" i="1" a="1"/>
  <c r="F488" i="1" s="1"/>
  <c r="F494" i="1" a="1"/>
  <c r="F494" i="1" s="1"/>
  <c r="F508" i="1" a="1"/>
  <c r="F508" i="1" s="1"/>
  <c r="G460" i="1" a="1"/>
  <c r="G460" i="1" s="1"/>
  <c r="H460" i="1" s="1"/>
  <c r="I460" i="1" s="1"/>
  <c r="G474" i="1" a="1"/>
  <c r="G474" i="1" s="1"/>
  <c r="G463" i="1" a="1"/>
  <c r="G463" i="1" s="1"/>
  <c r="H463" i="1" s="1"/>
  <c r="I463" i="1" s="1"/>
  <c r="G466" i="1" a="1"/>
  <c r="G466" i="1" s="1"/>
  <c r="G480" i="1" a="1"/>
  <c r="G480" i="1" s="1"/>
  <c r="F483" i="1" a="1"/>
  <c r="F483" i="1" s="1"/>
  <c r="F497" i="1" a="1"/>
  <c r="F497" i="1" s="1"/>
  <c r="G452" i="1" a="1"/>
  <c r="G452" i="1" s="1"/>
  <c r="H452" i="1" s="1"/>
  <c r="I452" i="1" s="1"/>
  <c r="F486" i="1" a="1"/>
  <c r="F486" i="1" s="1"/>
  <c r="F489" i="1" a="1"/>
  <c r="F489" i="1" s="1"/>
  <c r="F503" i="1" a="1"/>
  <c r="F503" i="1" s="1"/>
  <c r="G472" i="1" a="1"/>
  <c r="G472" i="1" s="1"/>
  <c r="G475" i="1" a="1"/>
  <c r="G475" i="1" s="1"/>
  <c r="F492" i="1" a="1"/>
  <c r="F492" i="1" s="1"/>
  <c r="F506" i="1" a="1"/>
  <c r="F506" i="1" s="1"/>
  <c r="G458" i="1" a="1"/>
  <c r="G458" i="1" s="1"/>
  <c r="G464" i="1" a="1"/>
  <c r="G464" i="1" s="1"/>
  <c r="H464" i="1" s="1"/>
  <c r="I464" i="1" s="1"/>
  <c r="G469" i="1" a="1"/>
  <c r="G469" i="1" s="1"/>
  <c r="H469" i="1" s="1"/>
  <c r="I469" i="1" s="1"/>
  <c r="F509" i="1" a="1"/>
  <c r="F509" i="1" s="1"/>
  <c r="G455" i="1" a="1"/>
  <c r="G455" i="1" s="1"/>
  <c r="H455" i="1" s="1"/>
  <c r="I455" i="1" s="1"/>
  <c r="G478" i="1" a="1"/>
  <c r="G478" i="1" s="1"/>
  <c r="H478" i="1" s="1"/>
  <c r="I478" i="1" s="1"/>
  <c r="F512" i="1" a="1"/>
  <c r="F512" i="1" s="1"/>
  <c r="F498" i="1" a="1"/>
  <c r="F498" i="1" s="1"/>
  <c r="J30" i="1"/>
  <c r="K30" i="1" s="1"/>
  <c r="G37" i="1" a="1"/>
  <c r="G37" i="1" s="1"/>
  <c r="H37" i="1" s="1"/>
  <c r="I37" i="1" s="1"/>
  <c r="G53" i="1" a="1"/>
  <c r="G53" i="1" s="1"/>
  <c r="H53" i="1" s="1"/>
  <c r="I53" i="1" s="1"/>
  <c r="F67" i="1" a="1"/>
  <c r="F67" i="1" s="1"/>
  <c r="F83" i="1" a="1"/>
  <c r="F83" i="1" s="1"/>
  <c r="G44" i="1" a="1"/>
  <c r="G44" i="1" s="1"/>
  <c r="H44" i="1" s="1"/>
  <c r="I44" i="1" s="1"/>
  <c r="G60" i="1" a="1"/>
  <c r="G60" i="1" s="1"/>
  <c r="F74" i="1" a="1"/>
  <c r="F74" i="1" s="1"/>
  <c r="F90" i="1" a="1"/>
  <c r="F90" i="1" s="1"/>
  <c r="G35" i="1" a="1"/>
  <c r="G35" i="1" s="1"/>
  <c r="H35" i="1" s="1"/>
  <c r="I35" i="1" s="1"/>
  <c r="G51" i="1" a="1"/>
  <c r="G51" i="1" s="1"/>
  <c r="H51" i="1" s="1"/>
  <c r="I51" i="1" s="1"/>
  <c r="F81" i="1" a="1"/>
  <c r="F81" i="1" s="1"/>
  <c r="F97" i="1" a="1"/>
  <c r="F97" i="1" s="1"/>
  <c r="G42" i="1" a="1"/>
  <c r="G42" i="1" s="1"/>
  <c r="H42" i="1" s="1"/>
  <c r="I42" i="1" s="1"/>
  <c r="G58" i="1" a="1"/>
  <c r="G58" i="1" s="1"/>
  <c r="H58" i="1" s="1"/>
  <c r="I58" i="1" s="1"/>
  <c r="F72" i="1" a="1"/>
  <c r="F72" i="1" s="1"/>
  <c r="F88" i="1" a="1"/>
  <c r="F88" i="1" s="1"/>
  <c r="G49" i="1" a="1"/>
  <c r="G49" i="1" s="1"/>
  <c r="H49" i="1" s="1"/>
  <c r="I49" i="1" s="1"/>
  <c r="G65" i="1" a="1"/>
  <c r="G65" i="1" s="1"/>
  <c r="H65" i="1" s="1"/>
  <c r="I65" i="1" s="1"/>
  <c r="F79" i="1" a="1"/>
  <c r="F79" i="1" s="1"/>
  <c r="F95" i="1" a="1"/>
  <c r="F95" i="1" s="1"/>
  <c r="G40" i="1" a="1"/>
  <c r="G40" i="1" s="1"/>
  <c r="G56" i="1" a="1"/>
  <c r="G56" i="1" s="1"/>
  <c r="F70" i="1" a="1"/>
  <c r="F70" i="1" s="1"/>
  <c r="F86" i="1" a="1"/>
  <c r="F86" i="1" s="1"/>
  <c r="G47" i="1" a="1"/>
  <c r="G47" i="1" s="1"/>
  <c r="H47" i="1" s="1"/>
  <c r="I47" i="1" s="1"/>
  <c r="G63" i="1" a="1"/>
  <c r="G63" i="1" s="1"/>
  <c r="H63" i="1" s="1"/>
  <c r="I63" i="1" s="1"/>
  <c r="F77" i="1" a="1"/>
  <c r="F77" i="1" s="1"/>
  <c r="F93" i="1" a="1"/>
  <c r="F93" i="1" s="1"/>
  <c r="G38" i="1" a="1"/>
  <c r="G38" i="1" s="1"/>
  <c r="H38" i="1" s="1"/>
  <c r="I38" i="1" s="1"/>
  <c r="G54" i="1" a="1"/>
  <c r="G54" i="1" s="1"/>
  <c r="H54" i="1" s="1"/>
  <c r="I54" i="1" s="1"/>
  <c r="F68" i="1" a="1"/>
  <c r="F68" i="1" s="1"/>
  <c r="F84" i="1" a="1"/>
  <c r="F84" i="1" s="1"/>
  <c r="G45" i="1" a="1"/>
  <c r="G45" i="1" s="1"/>
  <c r="H45" i="1" s="1"/>
  <c r="I45" i="1" s="1"/>
  <c r="G61" i="1" a="1"/>
  <c r="G61" i="1" s="1"/>
  <c r="H61" i="1" s="1"/>
  <c r="I61" i="1" s="1"/>
  <c r="F75" i="1" a="1"/>
  <c r="F75" i="1" s="1"/>
  <c r="F91" i="1" a="1"/>
  <c r="F91" i="1" s="1"/>
  <c r="G36" i="1" a="1"/>
  <c r="G36" i="1" s="1"/>
  <c r="G52" i="1" a="1"/>
  <c r="G52" i="1" s="1"/>
  <c r="F66" i="1" a="1"/>
  <c r="F66" i="1" s="1"/>
  <c r="F82" i="1" a="1"/>
  <c r="F82" i="1" s="1"/>
  <c r="G43" i="1" a="1"/>
  <c r="G43" i="1" s="1"/>
  <c r="H43" i="1" s="1"/>
  <c r="I43" i="1" s="1"/>
  <c r="G59" i="1" a="1"/>
  <c r="G59" i="1" s="1"/>
  <c r="H59" i="1" s="1"/>
  <c r="I59" i="1" s="1"/>
  <c r="F73" i="1" a="1"/>
  <c r="F73" i="1" s="1"/>
  <c r="F89" i="1" a="1"/>
  <c r="F89" i="1" s="1"/>
  <c r="G34" i="1" a="1"/>
  <c r="G34" i="1" s="1"/>
  <c r="H34" i="1" s="1"/>
  <c r="I34" i="1" s="1"/>
  <c r="G50" i="1" a="1"/>
  <c r="G50" i="1" s="1"/>
  <c r="H50" i="1" s="1"/>
  <c r="I50" i="1" s="1"/>
  <c r="F80" i="1" a="1"/>
  <c r="F80" i="1" s="1"/>
  <c r="F96" i="1" a="1"/>
  <c r="F96" i="1" s="1"/>
  <c r="G48" i="1" a="1"/>
  <c r="G48" i="1" s="1"/>
  <c r="G64" i="1" a="1"/>
  <c r="G64" i="1" s="1"/>
  <c r="F78" i="1" a="1"/>
  <c r="F78" i="1" s="1"/>
  <c r="F94" i="1" a="1"/>
  <c r="F94" i="1" s="1"/>
  <c r="G39" i="1" a="1"/>
  <c r="G39" i="1" s="1"/>
  <c r="G55" i="1" a="1"/>
  <c r="G55" i="1" s="1"/>
  <c r="F69" i="1" a="1"/>
  <c r="F69" i="1" s="1"/>
  <c r="F85" i="1" a="1"/>
  <c r="F85" i="1" s="1"/>
  <c r="G62" i="1" a="1"/>
  <c r="G62" i="1" s="1"/>
  <c r="H62" i="1" s="1"/>
  <c r="I62" i="1" s="1"/>
  <c r="G46" i="1" a="1"/>
  <c r="G46" i="1" s="1"/>
  <c r="H46" i="1" s="1"/>
  <c r="I46" i="1" s="1"/>
  <c r="F87" i="1" a="1"/>
  <c r="F87" i="1" s="1"/>
  <c r="F71" i="1" a="1"/>
  <c r="F71" i="1" s="1"/>
  <c r="F92" i="1" a="1"/>
  <c r="F92" i="1" s="1"/>
  <c r="F76" i="1" a="1"/>
  <c r="F76" i="1" s="1"/>
  <c r="G41" i="1" a="1"/>
  <c r="G41" i="1" s="1"/>
  <c r="H41" i="1" s="1"/>
  <c r="I41" i="1" s="1"/>
  <c r="G57" i="1" a="1"/>
  <c r="G57" i="1" s="1"/>
  <c r="G369" i="1" a="1"/>
  <c r="G369" i="1" s="1"/>
  <c r="G385" i="1" a="1"/>
  <c r="G385" i="1" s="1"/>
  <c r="H385" i="1" s="1"/>
  <c r="I385" i="1" s="1"/>
  <c r="F399" i="1" a="1"/>
  <c r="F399" i="1" s="1"/>
  <c r="F415" i="1" a="1"/>
  <c r="F415" i="1" s="1"/>
  <c r="G360" i="1" a="1"/>
  <c r="G360" i="1" s="1"/>
  <c r="G376" i="1" a="1"/>
  <c r="G376" i="1" s="1"/>
  <c r="H376" i="1" s="1"/>
  <c r="I376" i="1" s="1"/>
  <c r="F390" i="1" a="1"/>
  <c r="F390" i="1" s="1"/>
  <c r="F406" i="1" a="1"/>
  <c r="F406" i="1" s="1"/>
  <c r="G367" i="1" a="1"/>
  <c r="G367" i="1" s="1"/>
  <c r="H367" i="1" s="1"/>
  <c r="I367" i="1" s="1"/>
  <c r="G383" i="1" a="1"/>
  <c r="G383" i="1" s="1"/>
  <c r="H383" i="1" s="1"/>
  <c r="I383" i="1" s="1"/>
  <c r="F397" i="1" a="1"/>
  <c r="F397" i="1" s="1"/>
  <c r="F413" i="1" a="1"/>
  <c r="F413" i="1" s="1"/>
  <c r="G358" i="1" a="1"/>
  <c r="G358" i="1" s="1"/>
  <c r="H358" i="1" s="1"/>
  <c r="I358" i="1" s="1"/>
  <c r="G374" i="1" a="1"/>
  <c r="G374" i="1" s="1"/>
  <c r="F388" i="1" a="1"/>
  <c r="F388" i="1" s="1"/>
  <c r="F404" i="1" a="1"/>
  <c r="F404" i="1" s="1"/>
  <c r="G365" i="1" a="1"/>
  <c r="G365" i="1" s="1"/>
  <c r="G381" i="1" a="1"/>
  <c r="G381" i="1" s="1"/>
  <c r="F395" i="1" a="1"/>
  <c r="F395" i="1" s="1"/>
  <c r="F411" i="1" a="1"/>
  <c r="F411" i="1" s="1"/>
  <c r="G356" i="1" a="1"/>
  <c r="G356" i="1" s="1"/>
  <c r="H356" i="1" s="1"/>
  <c r="I356" i="1" s="1"/>
  <c r="G372" i="1" a="1"/>
  <c r="G372" i="1" s="1"/>
  <c r="F386" i="1" a="1"/>
  <c r="F386" i="1" s="1"/>
  <c r="F402" i="1" a="1"/>
  <c r="F402" i="1" s="1"/>
  <c r="G363" i="1" a="1"/>
  <c r="G363" i="1" s="1"/>
  <c r="H363" i="1" s="1"/>
  <c r="I363" i="1" s="1"/>
  <c r="G379" i="1" a="1"/>
  <c r="G379" i="1" s="1"/>
  <c r="H379" i="1" s="1"/>
  <c r="I379" i="1" s="1"/>
  <c r="F393" i="1" a="1"/>
  <c r="F393" i="1" s="1"/>
  <c r="F409" i="1" a="1"/>
  <c r="F409" i="1" s="1"/>
  <c r="G354" i="1" a="1"/>
  <c r="G354" i="1" s="1"/>
  <c r="H354" i="1" s="1"/>
  <c r="I354" i="1" s="1"/>
  <c r="G370" i="1" a="1"/>
  <c r="G370" i="1" s="1"/>
  <c r="H370" i="1" s="1"/>
  <c r="I370" i="1" s="1"/>
  <c r="F400" i="1" a="1"/>
  <c r="F400" i="1" s="1"/>
  <c r="F416" i="1" a="1"/>
  <c r="F416" i="1" s="1"/>
  <c r="G361" i="1" a="1"/>
  <c r="G361" i="1" s="1"/>
  <c r="G377" i="1" a="1"/>
  <c r="G377" i="1" s="1"/>
  <c r="F391" i="1" a="1"/>
  <c r="F391" i="1" s="1"/>
  <c r="F407" i="1" a="1"/>
  <c r="F407" i="1" s="1"/>
  <c r="G368" i="1" a="1"/>
  <c r="G368" i="1" s="1"/>
  <c r="G384" i="1" a="1"/>
  <c r="G384" i="1" s="1"/>
  <c r="F398" i="1" a="1"/>
  <c r="F398" i="1" s="1"/>
  <c r="F414" i="1" a="1"/>
  <c r="F414" i="1" s="1"/>
  <c r="G359" i="1" a="1"/>
  <c r="G359" i="1" s="1"/>
  <c r="H359" i="1" s="1"/>
  <c r="I359" i="1" s="1"/>
  <c r="G375" i="1" a="1"/>
  <c r="G375" i="1" s="1"/>
  <c r="H375" i="1" s="1"/>
  <c r="I375" i="1" s="1"/>
  <c r="F389" i="1" a="1"/>
  <c r="F389" i="1" s="1"/>
  <c r="G364" i="1" a="1"/>
  <c r="G364" i="1" s="1"/>
  <c r="H364" i="1" s="1"/>
  <c r="I364" i="1" s="1"/>
  <c r="G380" i="1" a="1"/>
  <c r="G380" i="1" s="1"/>
  <c r="F394" i="1" a="1"/>
  <c r="F394" i="1" s="1"/>
  <c r="G355" i="1" a="1"/>
  <c r="G355" i="1" s="1"/>
  <c r="H355" i="1" s="1"/>
  <c r="I355" i="1" s="1"/>
  <c r="G371" i="1" a="1"/>
  <c r="G371" i="1" s="1"/>
  <c r="F401" i="1" a="1"/>
  <c r="F401" i="1" s="1"/>
  <c r="G373" i="1" a="1"/>
  <c r="G373" i="1" s="1"/>
  <c r="F396" i="1" a="1"/>
  <c r="F396" i="1" s="1"/>
  <c r="F410" i="1" a="1"/>
  <c r="F410" i="1" s="1"/>
  <c r="G362" i="1" a="1"/>
  <c r="G362" i="1" s="1"/>
  <c r="H362" i="1" s="1"/>
  <c r="I362" i="1" s="1"/>
  <c r="F387" i="1" a="1"/>
  <c r="F387" i="1" s="1"/>
  <c r="F405" i="1" a="1"/>
  <c r="F405" i="1" s="1"/>
  <c r="F417" i="1" a="1"/>
  <c r="F417" i="1" s="1"/>
  <c r="F412" i="1" a="1"/>
  <c r="F412" i="1" s="1"/>
  <c r="G366" i="1" a="1"/>
  <c r="G366" i="1" s="1"/>
  <c r="H366" i="1" s="1"/>
  <c r="I366" i="1" s="1"/>
  <c r="G378" i="1" a="1"/>
  <c r="G378" i="1" s="1"/>
  <c r="H378" i="1" s="1"/>
  <c r="I378" i="1" s="1"/>
  <c r="F392" i="1" a="1"/>
  <c r="F392" i="1" s="1"/>
  <c r="G357" i="1" a="1"/>
  <c r="G357" i="1" s="1"/>
  <c r="G382" i="1" a="1"/>
  <c r="G382" i="1" s="1"/>
  <c r="H382" i="1" s="1"/>
  <c r="I382" i="1" s="1"/>
  <c r="F408" i="1" a="1"/>
  <c r="F408" i="1" s="1"/>
  <c r="F403" i="1" a="1"/>
  <c r="F403" i="1" s="1"/>
  <c r="G866" i="1" a="1"/>
  <c r="G866" i="1" s="1"/>
  <c r="G882" i="1" a="1"/>
  <c r="G882" i="1" s="1"/>
  <c r="F912" i="1" a="1"/>
  <c r="F912" i="1" s="1"/>
  <c r="F928" i="1" a="1"/>
  <c r="F928" i="1" s="1"/>
  <c r="G873" i="1" a="1"/>
  <c r="G873" i="1" s="1"/>
  <c r="H873" i="1" s="1"/>
  <c r="I873" i="1" s="1"/>
  <c r="G889" i="1" a="1"/>
  <c r="G889" i="1" s="1"/>
  <c r="G880" i="1" a="1"/>
  <c r="G880" i="1" s="1"/>
  <c r="H880" i="1" s="1"/>
  <c r="I880" i="1" s="1"/>
  <c r="G878" i="1" a="1"/>
  <c r="G878" i="1" s="1"/>
  <c r="H878" i="1" s="1"/>
  <c r="I878" i="1" s="1"/>
  <c r="G894" i="1" a="1"/>
  <c r="G894" i="1" s="1"/>
  <c r="H894" i="1" s="1"/>
  <c r="I894" i="1" s="1"/>
  <c r="F908" i="1" a="1"/>
  <c r="F908" i="1" s="1"/>
  <c r="F924" i="1" a="1"/>
  <c r="F924" i="1" s="1"/>
  <c r="G869" i="1" a="1"/>
  <c r="G869" i="1" s="1"/>
  <c r="G885" i="1" a="1"/>
  <c r="G885" i="1" s="1"/>
  <c r="H885" i="1" s="1"/>
  <c r="I885" i="1" s="1"/>
  <c r="F899" i="1" a="1"/>
  <c r="F899" i="1" s="1"/>
  <c r="F915" i="1" a="1"/>
  <c r="F915" i="1" s="1"/>
  <c r="G876" i="1" a="1"/>
  <c r="G876" i="1" s="1"/>
  <c r="G874" i="1" a="1"/>
  <c r="G874" i="1" s="1"/>
  <c r="H874" i="1" s="1"/>
  <c r="I874" i="1" s="1"/>
  <c r="G877" i="1" a="1"/>
  <c r="G877" i="1" s="1"/>
  <c r="G891" i="1" a="1"/>
  <c r="G891" i="1" s="1"/>
  <c r="F909" i="1" a="1"/>
  <c r="F909" i="1" s="1"/>
  <c r="F923" i="1" a="1"/>
  <c r="F923" i="1" s="1"/>
  <c r="F926" i="1" a="1"/>
  <c r="F926" i="1" s="1"/>
  <c r="F929" i="1" a="1"/>
  <c r="F929" i="1" s="1"/>
  <c r="G892" i="1" a="1"/>
  <c r="G892" i="1" s="1"/>
  <c r="F898" i="1" a="1"/>
  <c r="F898" i="1" s="1"/>
  <c r="G870" i="1" a="1"/>
  <c r="G870" i="1" s="1"/>
  <c r="H870" i="1" s="1"/>
  <c r="I870" i="1" s="1"/>
  <c r="G895" i="1" a="1"/>
  <c r="G895" i="1" s="1"/>
  <c r="H895" i="1" s="1"/>
  <c r="I895" i="1" s="1"/>
  <c r="F901" i="1" a="1"/>
  <c r="F901" i="1" s="1"/>
  <c r="F904" i="1" a="1"/>
  <c r="F904" i="1" s="1"/>
  <c r="F918" i="1" a="1"/>
  <c r="F918" i="1" s="1"/>
  <c r="G886" i="1" a="1"/>
  <c r="G886" i="1" s="1"/>
  <c r="H886" i="1" s="1"/>
  <c r="I886" i="1" s="1"/>
  <c r="F907" i="1" a="1"/>
  <c r="F907" i="1" s="1"/>
  <c r="F921" i="1" a="1"/>
  <c r="F921" i="1" s="1"/>
  <c r="G879" i="1" a="1"/>
  <c r="G879" i="1" s="1"/>
  <c r="G883" i="1" a="1"/>
  <c r="G883" i="1" s="1"/>
  <c r="H883" i="1" s="1"/>
  <c r="I883" i="1" s="1"/>
  <c r="F910" i="1" a="1"/>
  <c r="F910" i="1" s="1"/>
  <c r="F913" i="1" a="1"/>
  <c r="F913" i="1" s="1"/>
  <c r="F927" i="1" a="1"/>
  <c r="F927" i="1" s="1"/>
  <c r="G871" i="1" a="1"/>
  <c r="G871" i="1" s="1"/>
  <c r="H871" i="1" s="1"/>
  <c r="I871" i="1" s="1"/>
  <c r="G867" i="1" a="1"/>
  <c r="G867" i="1" s="1"/>
  <c r="H867" i="1" s="1"/>
  <c r="I867" i="1" s="1"/>
  <c r="G875" i="1" a="1"/>
  <c r="G875" i="1" s="1"/>
  <c r="G890" i="1" a="1"/>
  <c r="G890" i="1" s="1"/>
  <c r="H890" i="1" s="1"/>
  <c r="I890" i="1" s="1"/>
  <c r="G896" i="1" a="1"/>
  <c r="G896" i="1" s="1"/>
  <c r="F902" i="1" a="1"/>
  <c r="F902" i="1" s="1"/>
  <c r="F916" i="1" a="1"/>
  <c r="F916" i="1" s="1"/>
  <c r="G893" i="1" a="1"/>
  <c r="G893" i="1" s="1"/>
  <c r="H893" i="1" s="1"/>
  <c r="I893" i="1" s="1"/>
  <c r="F919" i="1" a="1"/>
  <c r="F919" i="1" s="1"/>
  <c r="F922" i="1" a="1"/>
  <c r="F922" i="1" s="1"/>
  <c r="G872" i="1" a="1"/>
  <c r="G872" i="1" s="1"/>
  <c r="G887" i="1" a="1"/>
  <c r="G887" i="1" s="1"/>
  <c r="H887" i="1" s="1"/>
  <c r="I887" i="1" s="1"/>
  <c r="F905" i="1" a="1"/>
  <c r="F905" i="1" s="1"/>
  <c r="F911" i="1" a="1"/>
  <c r="F911" i="1" s="1"/>
  <c r="F925" i="1" a="1"/>
  <c r="F925" i="1" s="1"/>
  <c r="G884" i="1" a="1"/>
  <c r="G884" i="1" s="1"/>
  <c r="G868" i="1" a="1"/>
  <c r="G868" i="1" s="1"/>
  <c r="G881" i="1" a="1"/>
  <c r="G881" i="1" s="1"/>
  <c r="H881" i="1" s="1"/>
  <c r="I881" i="1" s="1"/>
  <c r="G897" i="1" a="1"/>
  <c r="G897" i="1" s="1"/>
  <c r="H897" i="1" s="1"/>
  <c r="I897" i="1" s="1"/>
  <c r="F900" i="1" a="1"/>
  <c r="F900" i="1" s="1"/>
  <c r="F914" i="1" a="1"/>
  <c r="F914" i="1" s="1"/>
  <c r="F917" i="1" a="1"/>
  <c r="F917" i="1" s="1"/>
  <c r="F920" i="1" a="1"/>
  <c r="F920" i="1" s="1"/>
  <c r="G888" i="1" a="1"/>
  <c r="G888" i="1" s="1"/>
  <c r="H888" i="1" s="1"/>
  <c r="I888" i="1" s="1"/>
  <c r="F903" i="1" a="1"/>
  <c r="F903" i="1" s="1"/>
  <c r="F906" i="1" a="1"/>
  <c r="F906" i="1" s="1"/>
  <c r="G497" i="1" a="1"/>
  <c r="G497" i="1" s="1"/>
  <c r="H497" i="1" s="1"/>
  <c r="I497" i="1" s="1"/>
  <c r="G513" i="1" a="1"/>
  <c r="G513" i="1" s="1"/>
  <c r="H513" i="1" s="1"/>
  <c r="I513" i="1" s="1"/>
  <c r="F527" i="1" a="1"/>
  <c r="F527" i="1" s="1"/>
  <c r="F543" i="1" a="1"/>
  <c r="F543" i="1" s="1"/>
  <c r="G486" i="1" a="1"/>
  <c r="G486" i="1" s="1"/>
  <c r="G502" i="1" a="1"/>
  <c r="G502" i="1" s="1"/>
  <c r="F516" i="1" a="1"/>
  <c r="F516" i="1" s="1"/>
  <c r="F532" i="1" a="1"/>
  <c r="F532" i="1" s="1"/>
  <c r="G493" i="1" a="1"/>
  <c r="G493" i="1" s="1"/>
  <c r="G509" i="1" a="1"/>
  <c r="G509" i="1" s="1"/>
  <c r="F523" i="1" a="1"/>
  <c r="F523" i="1" s="1"/>
  <c r="G484" i="1" a="1"/>
  <c r="G484" i="1" s="1"/>
  <c r="G495" i="1" a="1"/>
  <c r="G495" i="1" s="1"/>
  <c r="G498" i="1" a="1"/>
  <c r="G498" i="1" s="1"/>
  <c r="H498" i="1" s="1"/>
  <c r="I498" i="1" s="1"/>
  <c r="G512" i="1" a="1"/>
  <c r="G512" i="1" s="1"/>
  <c r="F515" i="1" a="1"/>
  <c r="F515" i="1" s="1"/>
  <c r="F529" i="1" a="1"/>
  <c r="F529" i="1" s="1"/>
  <c r="F518" i="1" a="1"/>
  <c r="F518" i="1" s="1"/>
  <c r="G487" i="1" a="1"/>
  <c r="G487" i="1" s="1"/>
  <c r="G501" i="1" a="1"/>
  <c r="G501" i="1" s="1"/>
  <c r="F535" i="1" a="1"/>
  <c r="F535" i="1" s="1"/>
  <c r="F540" i="1" a="1"/>
  <c r="F540" i="1" s="1"/>
  <c r="G504" i="1" a="1"/>
  <c r="G504" i="1" s="1"/>
  <c r="H504" i="1" s="1"/>
  <c r="I504" i="1" s="1"/>
  <c r="G507" i="1" a="1"/>
  <c r="G507" i="1" s="1"/>
  <c r="F524" i="1" a="1"/>
  <c r="F524" i="1" s="1"/>
  <c r="F545" i="1" a="1"/>
  <c r="F545" i="1" s="1"/>
  <c r="G490" i="1" a="1"/>
  <c r="G490" i="1" s="1"/>
  <c r="F530" i="1" a="1"/>
  <c r="F530" i="1" s="1"/>
  <c r="G482" i="1" a="1"/>
  <c r="G482" i="1" s="1"/>
  <c r="G496" i="1" a="1"/>
  <c r="G496" i="1" s="1"/>
  <c r="G510" i="1" a="1"/>
  <c r="G510" i="1" s="1"/>
  <c r="F538" i="1" a="1"/>
  <c r="F538" i="1" s="1"/>
  <c r="F519" i="1" a="1"/>
  <c r="F519" i="1" s="1"/>
  <c r="F533" i="1" a="1"/>
  <c r="F533" i="1" s="1"/>
  <c r="G485" i="1" a="1"/>
  <c r="G485" i="1" s="1"/>
  <c r="G499" i="1" a="1"/>
  <c r="G499" i="1" s="1"/>
  <c r="H499" i="1" s="1"/>
  <c r="I499" i="1" s="1"/>
  <c r="G488" i="1" a="1"/>
  <c r="G488" i="1" s="1"/>
  <c r="G491" i="1" a="1"/>
  <c r="G491" i="1" s="1"/>
  <c r="G505" i="1" a="1"/>
  <c r="G505" i="1" s="1"/>
  <c r="F522" i="1" a="1"/>
  <c r="F522" i="1" s="1"/>
  <c r="F541" i="1" a="1"/>
  <c r="F541" i="1" s="1"/>
  <c r="F514" i="1" a="1"/>
  <c r="F514" i="1" s="1"/>
  <c r="F525" i="1" a="1"/>
  <c r="F525" i="1" s="1"/>
  <c r="F528" i="1" a="1"/>
  <c r="F528" i="1" s="1"/>
  <c r="F536" i="1" a="1"/>
  <c r="F536" i="1" s="1"/>
  <c r="G494" i="1" a="1"/>
  <c r="G494" i="1" s="1"/>
  <c r="G508" i="1" a="1"/>
  <c r="G508" i="1" s="1"/>
  <c r="G500" i="1" a="1"/>
  <c r="G500" i="1" s="1"/>
  <c r="G511" i="1" a="1"/>
  <c r="G511" i="1" s="1"/>
  <c r="F517" i="1" a="1"/>
  <c r="F517" i="1" s="1"/>
  <c r="F531" i="1" a="1"/>
  <c r="F531" i="1" s="1"/>
  <c r="F539" i="1" a="1"/>
  <c r="F539" i="1" s="1"/>
  <c r="G489" i="1" a="1"/>
  <c r="G489" i="1" s="1"/>
  <c r="G503" i="1" a="1"/>
  <c r="G503" i="1" s="1"/>
  <c r="F520" i="1" a="1"/>
  <c r="F520" i="1" s="1"/>
  <c r="G506" i="1" a="1"/>
  <c r="G506" i="1" s="1"/>
  <c r="F521" i="1" a="1"/>
  <c r="F521" i="1" s="1"/>
  <c r="G492" i="1" a="1"/>
  <c r="G492" i="1" s="1"/>
  <c r="F534" i="1" a="1"/>
  <c r="F534" i="1" s="1"/>
  <c r="G483" i="1" a="1"/>
  <c r="G483" i="1" s="1"/>
  <c r="F542" i="1" a="1"/>
  <c r="F542" i="1" s="1"/>
  <c r="F544" i="1" a="1"/>
  <c r="F544" i="1" s="1"/>
  <c r="F526" i="1" a="1"/>
  <c r="F526" i="1" s="1"/>
  <c r="F537" i="1" a="1"/>
  <c r="F537" i="1" s="1"/>
  <c r="H996" i="1"/>
  <c r="I996" i="1" s="1"/>
  <c r="H1006" i="1"/>
  <c r="I1006" i="1" s="1"/>
  <c r="H1003" i="1"/>
  <c r="I1003" i="1" s="1"/>
  <c r="G674" i="1" a="1"/>
  <c r="G674" i="1" s="1"/>
  <c r="H674" i="1" s="1"/>
  <c r="I674" i="1" s="1"/>
  <c r="G690" i="1" a="1"/>
  <c r="G690" i="1" s="1"/>
  <c r="H690" i="1" s="1"/>
  <c r="I690" i="1" s="1"/>
  <c r="F720" i="1" a="1"/>
  <c r="F720" i="1" s="1"/>
  <c r="F736" i="1" a="1"/>
  <c r="F736" i="1" s="1"/>
  <c r="G681" i="1" a="1"/>
  <c r="G681" i="1" s="1"/>
  <c r="H681" i="1" s="1"/>
  <c r="I681" i="1" s="1"/>
  <c r="G679" i="1" a="1"/>
  <c r="G679" i="1" s="1"/>
  <c r="H679" i="1" s="1"/>
  <c r="I679" i="1" s="1"/>
  <c r="G686" i="1" a="1"/>
  <c r="G686" i="1" s="1"/>
  <c r="G702" i="1" a="1"/>
  <c r="G702" i="1" s="1"/>
  <c r="H702" i="1" s="1"/>
  <c r="I702" i="1" s="1"/>
  <c r="G677" i="1" a="1"/>
  <c r="G677" i="1" s="1"/>
  <c r="H677" i="1" s="1"/>
  <c r="I677" i="1" s="1"/>
  <c r="G693" i="1" a="1"/>
  <c r="G693" i="1" s="1"/>
  <c r="H693" i="1" s="1"/>
  <c r="I693" i="1" s="1"/>
  <c r="F707" i="1" a="1"/>
  <c r="F707" i="1" s="1"/>
  <c r="F723" i="1" a="1"/>
  <c r="F723" i="1" s="1"/>
  <c r="G684" i="1" a="1"/>
  <c r="G684" i="1" s="1"/>
  <c r="G700" i="1" a="1"/>
  <c r="G700" i="1" s="1"/>
  <c r="F714" i="1" a="1"/>
  <c r="F714" i="1" s="1"/>
  <c r="F730" i="1" a="1"/>
  <c r="F730" i="1" s="1"/>
  <c r="G675" i="1" a="1"/>
  <c r="G675" i="1" s="1"/>
  <c r="H675" i="1" s="1"/>
  <c r="I675" i="1" s="1"/>
  <c r="G682" i="1" a="1"/>
  <c r="G682" i="1" s="1"/>
  <c r="H682" i="1" s="1"/>
  <c r="I682" i="1" s="1"/>
  <c r="G698" i="1" a="1"/>
  <c r="G698" i="1" s="1"/>
  <c r="H698" i="1" s="1"/>
  <c r="I698" i="1" s="1"/>
  <c r="F712" i="1" a="1"/>
  <c r="F712" i="1" s="1"/>
  <c r="F728" i="1" a="1"/>
  <c r="F728" i="1" s="1"/>
  <c r="G680" i="1" a="1"/>
  <c r="G680" i="1" s="1"/>
  <c r="H680" i="1" s="1"/>
  <c r="I680" i="1" s="1"/>
  <c r="G689" i="1" a="1"/>
  <c r="G689" i="1" s="1"/>
  <c r="G696" i="1" a="1"/>
  <c r="G696" i="1" s="1"/>
  <c r="H696" i="1" s="1"/>
  <c r="I696" i="1" s="1"/>
  <c r="G699" i="1" a="1"/>
  <c r="G699" i="1" s="1"/>
  <c r="F706" i="1" a="1"/>
  <c r="F706" i="1" s="1"/>
  <c r="F709" i="1" a="1"/>
  <c r="F709" i="1" s="1"/>
  <c r="G685" i="1" a="1"/>
  <c r="G685" i="1" s="1"/>
  <c r="H685" i="1" s="1"/>
  <c r="I685" i="1" s="1"/>
  <c r="G703" i="1" a="1"/>
  <c r="G703" i="1" s="1"/>
  <c r="H703" i="1" s="1"/>
  <c r="I703" i="1" s="1"/>
  <c r="F737" i="1" a="1"/>
  <c r="F737" i="1" s="1"/>
  <c r="F719" i="1" a="1"/>
  <c r="F719" i="1" s="1"/>
  <c r="F731" i="1" a="1"/>
  <c r="F731" i="1" s="1"/>
  <c r="F734" i="1" a="1"/>
  <c r="F734" i="1" s="1"/>
  <c r="F710" i="1" a="1"/>
  <c r="F710" i="1" s="1"/>
  <c r="F722" i="1" a="1"/>
  <c r="F722" i="1" s="1"/>
  <c r="F725" i="1" a="1"/>
  <c r="F725" i="1" s="1"/>
  <c r="F713" i="1" a="1"/>
  <c r="F713" i="1" s="1"/>
  <c r="F716" i="1" a="1"/>
  <c r="F716" i="1" s="1"/>
  <c r="G697" i="1" a="1"/>
  <c r="G697" i="1" s="1"/>
  <c r="G676" i="1" a="1"/>
  <c r="G676" i="1" s="1"/>
  <c r="H676" i="1" s="1"/>
  <c r="I676" i="1" s="1"/>
  <c r="G687" i="1" a="1"/>
  <c r="G687" i="1" s="1"/>
  <c r="H687" i="1" s="1"/>
  <c r="I687" i="1" s="1"/>
  <c r="G694" i="1" a="1"/>
  <c r="G694" i="1" s="1"/>
  <c r="F735" i="1" a="1"/>
  <c r="F735" i="1" s="1"/>
  <c r="G704" i="1" a="1"/>
  <c r="G704" i="1" s="1"/>
  <c r="H704" i="1" s="1"/>
  <c r="I704" i="1" s="1"/>
  <c r="F726" i="1" a="1"/>
  <c r="F726" i="1" s="1"/>
  <c r="G691" i="1" a="1"/>
  <c r="G691" i="1" s="1"/>
  <c r="H691" i="1" s="1"/>
  <c r="I691" i="1" s="1"/>
  <c r="G701" i="1" a="1"/>
  <c r="G701" i="1" s="1"/>
  <c r="F717" i="1" a="1"/>
  <c r="F717" i="1" s="1"/>
  <c r="F729" i="1" a="1"/>
  <c r="F729" i="1" s="1"/>
  <c r="F732" i="1" a="1"/>
  <c r="F732" i="1" s="1"/>
  <c r="F708" i="1" a="1"/>
  <c r="F708" i="1" s="1"/>
  <c r="F711" i="1" a="1"/>
  <c r="F711" i="1" s="1"/>
  <c r="G705" i="1" a="1"/>
  <c r="G705" i="1" s="1"/>
  <c r="H705" i="1" s="1"/>
  <c r="I705" i="1" s="1"/>
  <c r="G683" i="1" a="1"/>
  <c r="G683" i="1" s="1"/>
  <c r="H683" i="1" s="1"/>
  <c r="I683" i="1" s="1"/>
  <c r="G688" i="1" a="1"/>
  <c r="G688" i="1" s="1"/>
  <c r="H688" i="1" s="1"/>
  <c r="I688" i="1" s="1"/>
  <c r="G695" i="1" a="1"/>
  <c r="G695" i="1" s="1"/>
  <c r="H695" i="1" s="1"/>
  <c r="I695" i="1" s="1"/>
  <c r="F733" i="1" a="1"/>
  <c r="F733" i="1" s="1"/>
  <c r="G692" i="1" a="1"/>
  <c r="G692" i="1" s="1"/>
  <c r="F721" i="1" a="1"/>
  <c r="F721" i="1" s="1"/>
  <c r="F724" i="1" a="1"/>
  <c r="F724" i="1" s="1"/>
  <c r="F727" i="1" a="1"/>
  <c r="F727" i="1" s="1"/>
  <c r="G678" i="1" a="1"/>
  <c r="G678" i="1" s="1"/>
  <c r="F715" i="1" a="1"/>
  <c r="F715" i="1" s="1"/>
  <c r="F718" i="1" a="1"/>
  <c r="F718" i="1" s="1"/>
  <c r="G133" i="1" a="1"/>
  <c r="G133" i="1" s="1"/>
  <c r="H133" i="1" s="1"/>
  <c r="I133" i="1" s="1"/>
  <c r="G149" i="1" a="1"/>
  <c r="G149" i="1" s="1"/>
  <c r="H149" i="1" s="1"/>
  <c r="I149" i="1" s="1"/>
  <c r="F163" i="1" a="1"/>
  <c r="F163" i="1" s="1"/>
  <c r="F179" i="1" a="1"/>
  <c r="F179" i="1" s="1"/>
  <c r="G140" i="1" a="1"/>
  <c r="G140" i="1" s="1"/>
  <c r="H140" i="1" s="1"/>
  <c r="I140" i="1" s="1"/>
  <c r="G131" i="1" a="1"/>
  <c r="G131" i="1" s="1"/>
  <c r="H131" i="1" s="1"/>
  <c r="I131" i="1" s="1"/>
  <c r="G138" i="1" a="1"/>
  <c r="G138" i="1" s="1"/>
  <c r="H138" i="1" s="1"/>
  <c r="I138" i="1" s="1"/>
  <c r="G154" i="1" a="1"/>
  <c r="G154" i="1" s="1"/>
  <c r="H154" i="1" s="1"/>
  <c r="I154" i="1" s="1"/>
  <c r="F168" i="1" a="1"/>
  <c r="F168" i="1" s="1"/>
  <c r="F184" i="1" a="1"/>
  <c r="F184" i="1" s="1"/>
  <c r="G145" i="1" a="1"/>
  <c r="G145" i="1" s="1"/>
  <c r="H145" i="1" s="1"/>
  <c r="I145" i="1" s="1"/>
  <c r="G161" i="1" a="1"/>
  <c r="G161" i="1" s="1"/>
  <c r="H161" i="1" s="1"/>
  <c r="I161" i="1" s="1"/>
  <c r="F175" i="1" a="1"/>
  <c r="F175" i="1" s="1"/>
  <c r="F191" i="1" a="1"/>
  <c r="F191" i="1" s="1"/>
  <c r="G136" i="1" a="1"/>
  <c r="G136" i="1" s="1"/>
  <c r="H136" i="1" s="1"/>
  <c r="I136" i="1" s="1"/>
  <c r="G152" i="1" a="1"/>
  <c r="G152" i="1" s="1"/>
  <c r="F166" i="1" a="1"/>
  <c r="F166" i="1" s="1"/>
  <c r="F182" i="1" a="1"/>
  <c r="F182" i="1" s="1"/>
  <c r="G143" i="1" a="1"/>
  <c r="G143" i="1" s="1"/>
  <c r="G134" i="1" a="1"/>
  <c r="G134" i="1" s="1"/>
  <c r="H134" i="1" s="1"/>
  <c r="I134" i="1" s="1"/>
  <c r="G141" i="1" a="1"/>
  <c r="G141" i="1" s="1"/>
  <c r="H141" i="1" s="1"/>
  <c r="I141" i="1" s="1"/>
  <c r="G132" i="1" a="1"/>
  <c r="G132" i="1" s="1"/>
  <c r="H132" i="1" s="1"/>
  <c r="I132" i="1" s="1"/>
  <c r="G137" i="1" a="1"/>
  <c r="G137" i="1" s="1"/>
  <c r="H137" i="1" s="1"/>
  <c r="I137" i="1" s="1"/>
  <c r="G157" i="1" a="1"/>
  <c r="G157" i="1" s="1"/>
  <c r="H157" i="1" s="1"/>
  <c r="I157" i="1" s="1"/>
  <c r="G160" i="1" a="1"/>
  <c r="G160" i="1" s="1"/>
  <c r="G147" i="1" a="1"/>
  <c r="G147" i="1" s="1"/>
  <c r="H147" i="1" s="1"/>
  <c r="I147" i="1" s="1"/>
  <c r="F173" i="1" a="1"/>
  <c r="F173" i="1" s="1"/>
  <c r="F185" i="1" a="1"/>
  <c r="F185" i="1" s="1"/>
  <c r="G130" i="1" a="1"/>
  <c r="G130" i="1" s="1"/>
  <c r="G139" i="1" a="1"/>
  <c r="G139" i="1" s="1"/>
  <c r="G144" i="1" a="1"/>
  <c r="G144" i="1" s="1"/>
  <c r="F164" i="1" a="1"/>
  <c r="F164" i="1" s="1"/>
  <c r="F176" i="1" a="1"/>
  <c r="F176" i="1" s="1"/>
  <c r="F188" i="1" a="1"/>
  <c r="F188" i="1" s="1"/>
  <c r="F167" i="1" a="1"/>
  <c r="F167" i="1" s="1"/>
  <c r="F170" i="1" a="1"/>
  <c r="F170" i="1" s="1"/>
  <c r="G148" i="1" a="1"/>
  <c r="G148" i="1" s="1"/>
  <c r="G151" i="1" a="1"/>
  <c r="G151" i="1" s="1"/>
  <c r="F189" i="1" a="1"/>
  <c r="F189" i="1" s="1"/>
  <c r="G155" i="1" a="1"/>
  <c r="G155" i="1" s="1"/>
  <c r="G158" i="1" a="1"/>
  <c r="G158" i="1" s="1"/>
  <c r="H158" i="1" s="1"/>
  <c r="I158" i="1" s="1"/>
  <c r="F180" i="1" a="1"/>
  <c r="F180" i="1" s="1"/>
  <c r="F192" i="1" a="1"/>
  <c r="F192" i="1" s="1"/>
  <c r="F171" i="1" a="1"/>
  <c r="F171" i="1" s="1"/>
  <c r="F183" i="1" a="1"/>
  <c r="F183" i="1" s="1"/>
  <c r="F186" i="1" a="1"/>
  <c r="F186" i="1" s="1"/>
  <c r="F162" i="1" a="1"/>
  <c r="F162" i="1" s="1"/>
  <c r="F174" i="1" a="1"/>
  <c r="F174" i="1" s="1"/>
  <c r="F177" i="1" a="1"/>
  <c r="F177" i="1" s="1"/>
  <c r="G159" i="1" a="1"/>
  <c r="G159" i="1" s="1"/>
  <c r="F165" i="1" a="1"/>
  <c r="F165" i="1" s="1"/>
  <c r="G135" i="1" a="1"/>
  <c r="G135" i="1" s="1"/>
  <c r="G142" i="1" a="1"/>
  <c r="G142" i="1" s="1"/>
  <c r="H142" i="1" s="1"/>
  <c r="I142" i="1" s="1"/>
  <c r="G156" i="1" a="1"/>
  <c r="G156" i="1" s="1"/>
  <c r="H156" i="1" s="1"/>
  <c r="I156" i="1" s="1"/>
  <c r="F178" i="1" a="1"/>
  <c r="F178" i="1" s="1"/>
  <c r="F190" i="1" a="1"/>
  <c r="F190" i="1" s="1"/>
  <c r="F193" i="1" a="1"/>
  <c r="F193" i="1" s="1"/>
  <c r="G150" i="1" a="1"/>
  <c r="G150" i="1" s="1"/>
  <c r="G153" i="1" a="1"/>
  <c r="G153" i="1" s="1"/>
  <c r="F169" i="1" a="1"/>
  <c r="F169" i="1" s="1"/>
  <c r="F181" i="1" a="1"/>
  <c r="F181" i="1" s="1"/>
  <c r="F172" i="1" a="1"/>
  <c r="F172" i="1" s="1"/>
  <c r="G146" i="1" a="1"/>
  <c r="G146" i="1" s="1"/>
  <c r="H146" i="1" s="1"/>
  <c r="I146" i="1" s="1"/>
  <c r="F187" i="1" a="1"/>
  <c r="F187" i="1" s="1"/>
  <c r="H1015" i="1"/>
  <c r="I1015" i="1" s="1"/>
  <c r="G401" i="1" a="1"/>
  <c r="G401" i="1" s="1"/>
  <c r="G417" i="1" a="1"/>
  <c r="G417" i="1" s="1"/>
  <c r="F431" i="1" a="1"/>
  <c r="F431" i="1" s="1"/>
  <c r="F447" i="1" a="1"/>
  <c r="F447" i="1" s="1"/>
  <c r="G392" i="1" a="1"/>
  <c r="G392" i="1" s="1"/>
  <c r="G408" i="1" a="1"/>
  <c r="G408" i="1" s="1"/>
  <c r="H408" i="1" s="1"/>
  <c r="I408" i="1" s="1"/>
  <c r="F422" i="1" a="1"/>
  <c r="F422" i="1" s="1"/>
  <c r="F438" i="1" a="1"/>
  <c r="F438" i="1" s="1"/>
  <c r="G399" i="1" a="1"/>
  <c r="G399" i="1" s="1"/>
  <c r="G415" i="1" a="1"/>
  <c r="G415" i="1" s="1"/>
  <c r="F429" i="1" a="1"/>
  <c r="F429" i="1" s="1"/>
  <c r="F445" i="1" a="1"/>
  <c r="F445" i="1" s="1"/>
  <c r="G390" i="1" a="1"/>
  <c r="G390" i="1" s="1"/>
  <c r="H390" i="1" s="1"/>
  <c r="I390" i="1" s="1"/>
  <c r="G406" i="1" a="1"/>
  <c r="G406" i="1" s="1"/>
  <c r="F420" i="1" a="1"/>
  <c r="F420" i="1" s="1"/>
  <c r="F436" i="1" a="1"/>
  <c r="F436" i="1" s="1"/>
  <c r="G397" i="1" a="1"/>
  <c r="G397" i="1" s="1"/>
  <c r="G413" i="1" a="1"/>
  <c r="G413" i="1" s="1"/>
  <c r="F427" i="1" a="1"/>
  <c r="F427" i="1" s="1"/>
  <c r="F443" i="1" a="1"/>
  <c r="F443" i="1" s="1"/>
  <c r="G388" i="1" a="1"/>
  <c r="G388" i="1" s="1"/>
  <c r="H388" i="1" s="1"/>
  <c r="I388" i="1" s="1"/>
  <c r="G404" i="1" a="1"/>
  <c r="G404" i="1" s="1"/>
  <c r="F418" i="1" a="1"/>
  <c r="F418" i="1" s="1"/>
  <c r="F434" i="1" a="1"/>
  <c r="F434" i="1" s="1"/>
  <c r="G395" i="1" a="1"/>
  <c r="G395" i="1" s="1"/>
  <c r="G411" i="1" a="1"/>
  <c r="G411" i="1" s="1"/>
  <c r="F425" i="1" a="1"/>
  <c r="F425" i="1" s="1"/>
  <c r="F441" i="1" a="1"/>
  <c r="F441" i="1" s="1"/>
  <c r="G386" i="1" a="1"/>
  <c r="G386" i="1" s="1"/>
  <c r="H386" i="1" s="1"/>
  <c r="I386" i="1" s="1"/>
  <c r="G402" i="1" a="1"/>
  <c r="G402" i="1" s="1"/>
  <c r="F432" i="1" a="1"/>
  <c r="F432" i="1" s="1"/>
  <c r="G393" i="1" a="1"/>
  <c r="G393" i="1" s="1"/>
  <c r="G409" i="1" a="1"/>
  <c r="G409" i="1" s="1"/>
  <c r="F423" i="1" a="1"/>
  <c r="F423" i="1" s="1"/>
  <c r="F439" i="1" a="1"/>
  <c r="F439" i="1" s="1"/>
  <c r="G400" i="1" a="1"/>
  <c r="G400" i="1" s="1"/>
  <c r="H400" i="1" s="1"/>
  <c r="I400" i="1" s="1"/>
  <c r="G416" i="1" a="1"/>
  <c r="G416" i="1" s="1"/>
  <c r="H416" i="1" s="1"/>
  <c r="I416" i="1" s="1"/>
  <c r="F430" i="1" a="1"/>
  <c r="F430" i="1" s="1"/>
  <c r="G396" i="1" a="1"/>
  <c r="G396" i="1" s="1"/>
  <c r="G387" i="1" a="1"/>
  <c r="G387" i="1" s="1"/>
  <c r="G403" i="1" a="1"/>
  <c r="G403" i="1" s="1"/>
  <c r="H403" i="1" s="1"/>
  <c r="I403" i="1" s="1"/>
  <c r="G410" i="1" a="1"/>
  <c r="G410" i="1" s="1"/>
  <c r="F435" i="1" a="1"/>
  <c r="F435" i="1" s="1"/>
  <c r="G398" i="1" a="1"/>
  <c r="G398" i="1" s="1"/>
  <c r="G405" i="1" a="1"/>
  <c r="G405" i="1" s="1"/>
  <c r="H405" i="1" s="1"/>
  <c r="I405" i="1" s="1"/>
  <c r="F444" i="1" a="1"/>
  <c r="F444" i="1" s="1"/>
  <c r="F448" i="1" a="1"/>
  <c r="F448" i="1" s="1"/>
  <c r="G389" i="1" a="1"/>
  <c r="G389" i="1" s="1"/>
  <c r="F440" i="1" a="1"/>
  <c r="F440" i="1" s="1"/>
  <c r="G391" i="1" a="1"/>
  <c r="G391" i="1" s="1"/>
  <c r="G412" i="1" a="1"/>
  <c r="G412" i="1" s="1"/>
  <c r="F424" i="1" a="1"/>
  <c r="F424" i="1" s="1"/>
  <c r="G407" i="1" a="1"/>
  <c r="G407" i="1" s="1"/>
  <c r="F419" i="1" a="1"/>
  <c r="F419" i="1" s="1"/>
  <c r="F437" i="1" a="1"/>
  <c r="F437" i="1" s="1"/>
  <c r="G414" i="1" a="1"/>
  <c r="G414" i="1" s="1"/>
  <c r="F426" i="1" a="1"/>
  <c r="F426" i="1" s="1"/>
  <c r="F449" i="1" a="1"/>
  <c r="F449" i="1" s="1"/>
  <c r="G394" i="1" a="1"/>
  <c r="G394" i="1" s="1"/>
  <c r="F433" i="1" a="1"/>
  <c r="F433" i="1" s="1"/>
  <c r="F442" i="1" a="1"/>
  <c r="F442" i="1" s="1"/>
  <c r="F446" i="1" a="1"/>
  <c r="F446" i="1" s="1"/>
  <c r="F421" i="1" a="1"/>
  <c r="F421" i="1" s="1"/>
  <c r="F428" i="1" a="1"/>
  <c r="F428" i="1" s="1"/>
  <c r="G165" i="1" a="1"/>
  <c r="G165" i="1" s="1"/>
  <c r="G181" i="1" a="1"/>
  <c r="G181" i="1" s="1"/>
  <c r="F195" i="1" a="1"/>
  <c r="F195" i="1" s="1"/>
  <c r="G170" i="1" a="1"/>
  <c r="G170" i="1" s="1"/>
  <c r="G186" i="1" a="1"/>
  <c r="G186" i="1" s="1"/>
  <c r="G177" i="1" a="1"/>
  <c r="G177" i="1" s="1"/>
  <c r="G193" i="1" a="1"/>
  <c r="G193" i="1" s="1"/>
  <c r="G168" i="1" a="1"/>
  <c r="G168" i="1" s="1"/>
  <c r="H168" i="1" s="1"/>
  <c r="I168" i="1" s="1"/>
  <c r="G184" i="1" a="1"/>
  <c r="G184" i="1" s="1"/>
  <c r="G169" i="1" a="1"/>
  <c r="G169" i="1" s="1"/>
  <c r="G172" i="1" a="1"/>
  <c r="G172" i="1" s="1"/>
  <c r="F208" i="1" a="1"/>
  <c r="F208" i="1" s="1"/>
  <c r="F224" i="1" a="1"/>
  <c r="F224" i="1" s="1"/>
  <c r="G163" i="1" a="1"/>
  <c r="G163" i="1" s="1"/>
  <c r="F194" i="1" a="1"/>
  <c r="F194" i="1" s="1"/>
  <c r="F199" i="1" a="1"/>
  <c r="F199" i="1" s="1"/>
  <c r="F215" i="1" a="1"/>
  <c r="F215" i="1" s="1"/>
  <c r="G191" i="1" a="1"/>
  <c r="G191" i="1" s="1"/>
  <c r="F206" i="1" a="1"/>
  <c r="F206" i="1" s="1"/>
  <c r="F222" i="1" a="1"/>
  <c r="F222" i="1" s="1"/>
  <c r="G182" i="1" a="1"/>
  <c r="G182" i="1" s="1"/>
  <c r="F197" i="1" a="1"/>
  <c r="F197" i="1" s="1"/>
  <c r="F213" i="1" a="1"/>
  <c r="F213" i="1" s="1"/>
  <c r="G173" i="1" a="1"/>
  <c r="G173" i="1" s="1"/>
  <c r="G185" i="1" a="1"/>
  <c r="G185" i="1" s="1"/>
  <c r="G188" i="1" a="1"/>
  <c r="G188" i="1" s="1"/>
  <c r="F204" i="1" a="1"/>
  <c r="F204" i="1" s="1"/>
  <c r="F220" i="1" a="1"/>
  <c r="F220" i="1" s="1"/>
  <c r="G164" i="1" a="1"/>
  <c r="G164" i="1" s="1"/>
  <c r="H164" i="1" s="1"/>
  <c r="I164" i="1" s="1"/>
  <c r="G176" i="1" a="1"/>
  <c r="G176" i="1" s="1"/>
  <c r="G179" i="1" a="1"/>
  <c r="G179" i="1" s="1"/>
  <c r="F211" i="1" a="1"/>
  <c r="F211" i="1" s="1"/>
  <c r="G167" i="1" a="1"/>
  <c r="G167" i="1" s="1"/>
  <c r="F202" i="1" a="1"/>
  <c r="F202" i="1" s="1"/>
  <c r="F218" i="1" a="1"/>
  <c r="F218" i="1" s="1"/>
  <c r="F209" i="1" a="1"/>
  <c r="F209" i="1" s="1"/>
  <c r="F225" i="1" a="1"/>
  <c r="F225" i="1" s="1"/>
  <c r="G189" i="1" a="1"/>
  <c r="G189" i="1" s="1"/>
  <c r="F200" i="1" a="1"/>
  <c r="F200" i="1" s="1"/>
  <c r="F216" i="1" a="1"/>
  <c r="F216" i="1" s="1"/>
  <c r="G180" i="1" a="1"/>
  <c r="G180" i="1" s="1"/>
  <c r="G192" i="1" a="1"/>
  <c r="G192" i="1" s="1"/>
  <c r="F207" i="1" a="1"/>
  <c r="F207" i="1" s="1"/>
  <c r="F223" i="1" a="1"/>
  <c r="F223" i="1" s="1"/>
  <c r="G171" i="1" a="1"/>
  <c r="G171" i="1" s="1"/>
  <c r="G183" i="1" a="1"/>
  <c r="G183" i="1" s="1"/>
  <c r="F198" i="1" a="1"/>
  <c r="F198" i="1" s="1"/>
  <c r="F214" i="1" a="1"/>
  <c r="F214" i="1" s="1"/>
  <c r="F203" i="1" a="1"/>
  <c r="F203" i="1" s="1"/>
  <c r="F219" i="1" a="1"/>
  <c r="F219" i="1" s="1"/>
  <c r="G175" i="1" a="1"/>
  <c r="G175" i="1" s="1"/>
  <c r="G187" i="1" a="1"/>
  <c r="G187" i="1" s="1"/>
  <c r="F210" i="1" a="1"/>
  <c r="F210" i="1" s="1"/>
  <c r="G174" i="1" a="1"/>
  <c r="G174" i="1" s="1"/>
  <c r="G190" i="1" a="1"/>
  <c r="G190" i="1" s="1"/>
  <c r="F205" i="1" a="1"/>
  <c r="F205" i="1" s="1"/>
  <c r="F217" i="1" a="1"/>
  <c r="F217" i="1" s="1"/>
  <c r="G162" i="1" a="1"/>
  <c r="G162" i="1" s="1"/>
  <c r="G178" i="1" a="1"/>
  <c r="G178" i="1" s="1"/>
  <c r="F196" i="1" a="1"/>
  <c r="F196" i="1" s="1"/>
  <c r="F221" i="1" a="1"/>
  <c r="F221" i="1" s="1"/>
  <c r="G166" i="1" a="1"/>
  <c r="G166" i="1" s="1"/>
  <c r="F201" i="1" a="1"/>
  <c r="F201" i="1" s="1"/>
  <c r="F212" i="1" a="1"/>
  <c r="F212" i="1" s="1"/>
  <c r="G226" i="1" a="1"/>
  <c r="G226" i="1" s="1"/>
  <c r="G242" i="1" a="1"/>
  <c r="G242" i="1" s="1"/>
  <c r="F272" i="1" a="1"/>
  <c r="F272" i="1" s="1"/>
  <c r="F288" i="1" a="1"/>
  <c r="F288" i="1" s="1"/>
  <c r="G233" i="1" a="1"/>
  <c r="G233" i="1" s="1"/>
  <c r="H233" i="1" s="1"/>
  <c r="I233" i="1" s="1"/>
  <c r="G249" i="1" a="1"/>
  <c r="G249" i="1" s="1"/>
  <c r="H249" i="1" s="1"/>
  <c r="I249" i="1" s="1"/>
  <c r="F263" i="1" a="1"/>
  <c r="F263" i="1" s="1"/>
  <c r="G240" i="1" a="1"/>
  <c r="G240" i="1" s="1"/>
  <c r="H240" i="1" s="1"/>
  <c r="I240" i="1" s="1"/>
  <c r="G256" i="1" a="1"/>
  <c r="G256" i="1" s="1"/>
  <c r="H256" i="1" s="1"/>
  <c r="I256" i="1" s="1"/>
  <c r="F270" i="1" a="1"/>
  <c r="F270" i="1" s="1"/>
  <c r="G231" i="1" a="1"/>
  <c r="G231" i="1" s="1"/>
  <c r="H231" i="1" s="1"/>
  <c r="I231" i="1" s="1"/>
  <c r="G247" i="1" a="1"/>
  <c r="G247" i="1" s="1"/>
  <c r="H247" i="1" s="1"/>
  <c r="I247" i="1" s="1"/>
  <c r="F261" i="1" a="1"/>
  <c r="F261" i="1" s="1"/>
  <c r="F277" i="1" a="1"/>
  <c r="F277" i="1" s="1"/>
  <c r="G238" i="1" a="1"/>
  <c r="G238" i="1" s="1"/>
  <c r="H238" i="1" s="1"/>
  <c r="I238" i="1" s="1"/>
  <c r="G254" i="1" a="1"/>
  <c r="G254" i="1" s="1"/>
  <c r="H254" i="1" s="1"/>
  <c r="I254" i="1" s="1"/>
  <c r="F268" i="1" a="1"/>
  <c r="F268" i="1" s="1"/>
  <c r="F284" i="1" a="1"/>
  <c r="F284" i="1" s="1"/>
  <c r="G229" i="1" a="1"/>
  <c r="G229" i="1" s="1"/>
  <c r="G236" i="1" a="1"/>
  <c r="G236" i="1" s="1"/>
  <c r="H236" i="1" s="1"/>
  <c r="I236" i="1" s="1"/>
  <c r="G252" i="1" a="1"/>
  <c r="G252" i="1" s="1"/>
  <c r="H252" i="1" s="1"/>
  <c r="I252" i="1" s="1"/>
  <c r="F266" i="1" a="1"/>
  <c r="F266" i="1" s="1"/>
  <c r="F282" i="1" a="1"/>
  <c r="F282" i="1" s="1"/>
  <c r="G227" i="1" a="1"/>
  <c r="G227" i="1" s="1"/>
  <c r="H227" i="1" s="1"/>
  <c r="I227" i="1" s="1"/>
  <c r="G234" i="1" a="1"/>
  <c r="G234" i="1" s="1"/>
  <c r="H234" i="1" s="1"/>
  <c r="I234" i="1" s="1"/>
  <c r="G250" i="1" a="1"/>
  <c r="G250" i="1" s="1"/>
  <c r="H250" i="1" s="1"/>
  <c r="I250" i="1" s="1"/>
  <c r="F264" i="1" a="1"/>
  <c r="F264" i="1" s="1"/>
  <c r="F280" i="1" a="1"/>
  <c r="F280" i="1" s="1"/>
  <c r="G241" i="1" a="1"/>
  <c r="G241" i="1" s="1"/>
  <c r="G232" i="1" a="1"/>
  <c r="G232" i="1" s="1"/>
  <c r="G248" i="1" a="1"/>
  <c r="G248" i="1" s="1"/>
  <c r="G237" i="1" a="1"/>
  <c r="G237" i="1" s="1"/>
  <c r="G253" i="1" a="1"/>
  <c r="G253" i="1" s="1"/>
  <c r="H253" i="1" s="1"/>
  <c r="I253" i="1" s="1"/>
  <c r="G228" i="1" a="1"/>
  <c r="G228" i="1" s="1"/>
  <c r="H228" i="1" s="1"/>
  <c r="I228" i="1" s="1"/>
  <c r="F262" i="1" a="1"/>
  <c r="F262" i="1" s="1"/>
  <c r="F287" i="1" a="1"/>
  <c r="F287" i="1" s="1"/>
  <c r="G243" i="1" a="1"/>
  <c r="G243" i="1" s="1"/>
  <c r="H243" i="1" s="1"/>
  <c r="I243" i="1" s="1"/>
  <c r="F258" i="1" a="1"/>
  <c r="F258" i="1" s="1"/>
  <c r="F271" i="1" a="1"/>
  <c r="F271" i="1" s="1"/>
  <c r="F274" i="1" a="1"/>
  <c r="F274" i="1" s="1"/>
  <c r="G230" i="1" a="1"/>
  <c r="G230" i="1" s="1"/>
  <c r="H230" i="1" s="1"/>
  <c r="I230" i="1" s="1"/>
  <c r="G244" i="1" a="1"/>
  <c r="G244" i="1" s="1"/>
  <c r="H244" i="1" s="1"/>
  <c r="I244" i="1" s="1"/>
  <c r="F259" i="1" a="1"/>
  <c r="F259" i="1" s="1"/>
  <c r="F267" i="1" a="1"/>
  <c r="F267" i="1" s="1"/>
  <c r="F278" i="1" a="1"/>
  <c r="F278" i="1" s="1"/>
  <c r="F281" i="1" a="1"/>
  <c r="F281" i="1" s="1"/>
  <c r="G239" i="1" a="1"/>
  <c r="G239" i="1" s="1"/>
  <c r="H239" i="1" s="1"/>
  <c r="I239" i="1" s="1"/>
  <c r="G245" i="1" a="1"/>
  <c r="G245" i="1" s="1"/>
  <c r="F275" i="1" a="1"/>
  <c r="F275" i="1" s="1"/>
  <c r="F285" i="1" a="1"/>
  <c r="F285" i="1" s="1"/>
  <c r="G255" i="1" a="1"/>
  <c r="G255" i="1" s="1"/>
  <c r="H255" i="1" s="1"/>
  <c r="I255" i="1" s="1"/>
  <c r="F260" i="1" a="1"/>
  <c r="F260" i="1" s="1"/>
  <c r="F289" i="1" a="1"/>
  <c r="F289" i="1" s="1"/>
  <c r="G246" i="1" a="1"/>
  <c r="G246" i="1" s="1"/>
  <c r="H246" i="1" s="1"/>
  <c r="I246" i="1" s="1"/>
  <c r="F279" i="1" a="1"/>
  <c r="F279" i="1" s="1"/>
  <c r="G235" i="1" a="1"/>
  <c r="G235" i="1" s="1"/>
  <c r="H235" i="1" s="1"/>
  <c r="I235" i="1" s="1"/>
  <c r="F273" i="1" a="1"/>
  <c r="F273" i="1" s="1"/>
  <c r="F286" i="1" a="1"/>
  <c r="F286" i="1" s="1"/>
  <c r="F265" i="1" a="1"/>
  <c r="F265" i="1" s="1"/>
  <c r="F283" i="1" a="1"/>
  <c r="F283" i="1" s="1"/>
  <c r="F276" i="1" a="1"/>
  <c r="F276" i="1" s="1"/>
  <c r="G251" i="1" a="1"/>
  <c r="G251" i="1" s="1"/>
  <c r="H251" i="1" s="1"/>
  <c r="I251" i="1" s="1"/>
  <c r="G257" i="1" a="1"/>
  <c r="G257" i="1" s="1"/>
  <c r="F269" i="1" a="1"/>
  <c r="F269" i="1" s="1"/>
  <c r="J11" i="1"/>
  <c r="K11" i="1" s="1"/>
  <c r="J3" i="1"/>
  <c r="K3" i="1" s="1"/>
  <c r="H999" i="1"/>
  <c r="I999" i="1" s="1"/>
  <c r="G2" i="1" a="1"/>
  <c r="G2" i="1" s="1"/>
  <c r="H496" i="1" l="1"/>
  <c r="I496" i="1" s="1"/>
  <c r="H477" i="1"/>
  <c r="I477" i="1" s="1"/>
  <c r="H889" i="1"/>
  <c r="I889" i="1" s="1"/>
  <c r="H848" i="1"/>
  <c r="I848" i="1" s="1"/>
  <c r="H563" i="1"/>
  <c r="I563" i="1" s="1"/>
  <c r="H836" i="1"/>
  <c r="I836" i="1" s="1"/>
  <c r="H191" i="1"/>
  <c r="I191" i="1" s="1"/>
  <c r="H417" i="1"/>
  <c r="I417" i="1" s="1"/>
  <c r="H798" i="1"/>
  <c r="I798" i="1" s="1"/>
  <c r="H483" i="1"/>
  <c r="I483" i="1" s="1"/>
  <c r="H869" i="1"/>
  <c r="I869" i="1" s="1"/>
  <c r="H466" i="1"/>
  <c r="I466" i="1" s="1"/>
  <c r="H450" i="1"/>
  <c r="I450" i="1" s="1"/>
  <c r="H797" i="1"/>
  <c r="I797" i="1" s="1"/>
  <c r="J797" i="1" s="1"/>
  <c r="K797" i="1" s="1"/>
  <c r="H979" i="1"/>
  <c r="I979" i="1" s="1"/>
  <c r="J979" i="1" s="1"/>
  <c r="K979" i="1" s="1"/>
  <c r="H847" i="1"/>
  <c r="I847" i="1" s="1"/>
  <c r="J847" i="1" s="1"/>
  <c r="K847" i="1" s="1"/>
  <c r="H397" i="1"/>
  <c r="I397" i="1" s="1"/>
  <c r="H861" i="1"/>
  <c r="I861" i="1" s="1"/>
  <c r="H991" i="1"/>
  <c r="I991" i="1" s="1"/>
  <c r="H347" i="1"/>
  <c r="I347" i="1" s="1"/>
  <c r="J347" i="1" s="1"/>
  <c r="K347" i="1" s="1"/>
  <c r="H389" i="1"/>
  <c r="I389" i="1" s="1"/>
  <c r="J389" i="1" s="1"/>
  <c r="K389" i="1" s="1"/>
  <c r="H393" i="1"/>
  <c r="I393" i="1" s="1"/>
  <c r="J393" i="1" s="1"/>
  <c r="K393" i="1" s="1"/>
  <c r="H875" i="1"/>
  <c r="I875" i="1" s="1"/>
  <c r="J875" i="1" s="1"/>
  <c r="K875" i="1" s="1"/>
  <c r="H839" i="1"/>
  <c r="I839" i="1" s="1"/>
  <c r="J839" i="1" s="1"/>
  <c r="K839" i="1" s="1"/>
  <c r="H846" i="1"/>
  <c r="I846" i="1" s="1"/>
  <c r="H509" i="1"/>
  <c r="I509" i="1" s="1"/>
  <c r="H402" i="1"/>
  <c r="I402" i="1" s="1"/>
  <c r="H406" i="1"/>
  <c r="I406" i="1" s="1"/>
  <c r="H248" i="1"/>
  <c r="I248" i="1" s="1"/>
  <c r="H884" i="1"/>
  <c r="I884" i="1" s="1"/>
  <c r="J884" i="1" s="1"/>
  <c r="K884" i="1" s="1"/>
  <c r="H372" i="1"/>
  <c r="I372" i="1" s="1"/>
  <c r="J372" i="1" s="1"/>
  <c r="K372" i="1" s="1"/>
  <c r="H55" i="1"/>
  <c r="I55" i="1" s="1"/>
  <c r="J55" i="1" s="1"/>
  <c r="K55" i="1" s="1"/>
  <c r="H52" i="1"/>
  <c r="I52" i="1" s="1"/>
  <c r="H56" i="1"/>
  <c r="I56" i="1" s="1"/>
  <c r="H241" i="1"/>
  <c r="I241" i="1" s="1"/>
  <c r="H701" i="1"/>
  <c r="I701" i="1" s="1"/>
  <c r="J701" i="1" s="1"/>
  <c r="K701" i="1" s="1"/>
  <c r="H394" i="1"/>
  <c r="I394" i="1" s="1"/>
  <c r="J394" i="1" s="1"/>
  <c r="K394" i="1" s="1"/>
  <c r="H501" i="1"/>
  <c r="I501" i="1" s="1"/>
  <c r="J501" i="1" s="1"/>
  <c r="K501" i="1" s="1"/>
  <c r="H159" i="1"/>
  <c r="I159" i="1" s="1"/>
  <c r="H684" i="1"/>
  <c r="I684" i="1" s="1"/>
  <c r="J684" i="1" s="1"/>
  <c r="K684" i="1" s="1"/>
  <c r="H451" i="1"/>
  <c r="I451" i="1" s="1"/>
  <c r="H835" i="1"/>
  <c r="I835" i="1" s="1"/>
  <c r="H124" i="1"/>
  <c r="I124" i="1" s="1"/>
  <c r="H361" i="1"/>
  <c r="I361" i="1" s="1"/>
  <c r="H369" i="1"/>
  <c r="I369" i="1" s="1"/>
  <c r="H456" i="1"/>
  <c r="I456" i="1" s="1"/>
  <c r="J456" i="1" s="1"/>
  <c r="K456" i="1" s="1"/>
  <c r="H789" i="1"/>
  <c r="I789" i="1" s="1"/>
  <c r="J789" i="1" s="1"/>
  <c r="K789" i="1" s="1"/>
  <c r="H801" i="1"/>
  <c r="I801" i="1" s="1"/>
  <c r="J801" i="1" s="1"/>
  <c r="K801" i="1" s="1"/>
  <c r="H414" i="1"/>
  <c r="I414" i="1" s="1"/>
  <c r="H150" i="1"/>
  <c r="I150" i="1" s="1"/>
  <c r="H404" i="1"/>
  <c r="I404" i="1" s="1"/>
  <c r="H160" i="1"/>
  <c r="I160" i="1" s="1"/>
  <c r="J160" i="1" s="1"/>
  <c r="K160" i="1" s="1"/>
  <c r="H699" i="1"/>
  <c r="I699" i="1" s="1"/>
  <c r="H484" i="1"/>
  <c r="I484" i="1" s="1"/>
  <c r="J484" i="1" s="1"/>
  <c r="K484" i="1" s="1"/>
  <c r="H492" i="1"/>
  <c r="I492" i="1" s="1"/>
  <c r="J492" i="1" s="1"/>
  <c r="K492" i="1" s="1"/>
  <c r="H562" i="1"/>
  <c r="I562" i="1" s="1"/>
  <c r="J562" i="1" s="1"/>
  <c r="K562" i="1" s="1"/>
  <c r="H493" i="1"/>
  <c r="I493" i="1" s="1"/>
  <c r="H485" i="1"/>
  <c r="I485" i="1" s="1"/>
  <c r="H387" i="1"/>
  <c r="I387" i="1" s="1"/>
  <c r="H190" i="1"/>
  <c r="I190" i="1" s="1"/>
  <c r="H193" i="1"/>
  <c r="I193" i="1" s="1"/>
  <c r="H380" i="1"/>
  <c r="I380" i="1" s="1"/>
  <c r="J380" i="1" s="1"/>
  <c r="K380" i="1" s="1"/>
  <c r="H401" i="1"/>
  <c r="I401" i="1" s="1"/>
  <c r="J401" i="1" s="1"/>
  <c r="K401" i="1" s="1"/>
  <c r="H896" i="1"/>
  <c r="I896" i="1" s="1"/>
  <c r="H135" i="1"/>
  <c r="I135" i="1" s="1"/>
  <c r="H474" i="1"/>
  <c r="I474" i="1" s="1"/>
  <c r="H462" i="1"/>
  <c r="I462" i="1" s="1"/>
  <c r="H552" i="1"/>
  <c r="I552" i="1" s="1"/>
  <c r="J552" i="1" s="1"/>
  <c r="K552" i="1" s="1"/>
  <c r="H843" i="1"/>
  <c r="I843" i="1" s="1"/>
  <c r="J843" i="1" s="1"/>
  <c r="K843" i="1" s="1"/>
  <c r="H862" i="1"/>
  <c r="I862" i="1" s="1"/>
  <c r="J862" i="1" s="1"/>
  <c r="K862" i="1" s="1"/>
  <c r="H506" i="1"/>
  <c r="I506" i="1" s="1"/>
  <c r="J506" i="1" s="1"/>
  <c r="K506" i="1" s="1"/>
  <c r="H892" i="1"/>
  <c r="I892" i="1" s="1"/>
  <c r="J892" i="1" s="1"/>
  <c r="K892" i="1" s="1"/>
  <c r="H864" i="1"/>
  <c r="I864" i="1" s="1"/>
  <c r="H152" i="1"/>
  <c r="I152" i="1" s="1"/>
  <c r="H502" i="1"/>
  <c r="I502" i="1" s="1"/>
  <c r="H398" i="1"/>
  <c r="I398" i="1" s="1"/>
  <c r="H178" i="1"/>
  <c r="I178" i="1" s="1"/>
  <c r="J178" i="1" s="1"/>
  <c r="K178" i="1" s="1"/>
  <c r="H172" i="1"/>
  <c r="I172" i="1" s="1"/>
  <c r="J172" i="1" s="1"/>
  <c r="K172" i="1" s="1"/>
  <c r="H144" i="1"/>
  <c r="I144" i="1" s="1"/>
  <c r="J144" i="1" s="1"/>
  <c r="K144" i="1" s="1"/>
  <c r="H486" i="1"/>
  <c r="I486" i="1" s="1"/>
  <c r="J486" i="1" s="1"/>
  <c r="K486" i="1" s="1"/>
  <c r="H854" i="1"/>
  <c r="I854" i="1" s="1"/>
  <c r="H143" i="1"/>
  <c r="I143" i="1" s="1"/>
  <c r="H472" i="1"/>
  <c r="I472" i="1" s="1"/>
  <c r="J472" i="1" s="1"/>
  <c r="K472" i="1" s="1"/>
  <c r="H849" i="1"/>
  <c r="I849" i="1" s="1"/>
  <c r="J849" i="1" s="1"/>
  <c r="K849" i="1" s="1"/>
  <c r="H487" i="1"/>
  <c r="I487" i="1" s="1"/>
  <c r="J487" i="1" s="1"/>
  <c r="K487" i="1" s="1"/>
  <c r="H891" i="1"/>
  <c r="I891" i="1" s="1"/>
  <c r="J891" i="1" s="1"/>
  <c r="K891" i="1" s="1"/>
  <c r="H851" i="1"/>
  <c r="I851" i="1" s="1"/>
  <c r="J851" i="1" s="1"/>
  <c r="K851" i="1" s="1"/>
  <c r="H857" i="1"/>
  <c r="I857" i="1" s="1"/>
  <c r="J857" i="1" s="1"/>
  <c r="K857" i="1" s="1"/>
  <c r="H350" i="1"/>
  <c r="I350" i="1" s="1"/>
  <c r="H174" i="1"/>
  <c r="I174" i="1" s="1"/>
  <c r="H189" i="1"/>
  <c r="I189" i="1" s="1"/>
  <c r="H500" i="1"/>
  <c r="I500" i="1" s="1"/>
  <c r="H57" i="1"/>
  <c r="I57" i="1" s="1"/>
  <c r="J57" i="1" s="1"/>
  <c r="K57" i="1" s="1"/>
  <c r="H554" i="1"/>
  <c r="I554" i="1" s="1"/>
  <c r="J554" i="1" s="1"/>
  <c r="K554" i="1" s="1"/>
  <c r="H186" i="1"/>
  <c r="I186" i="1" s="1"/>
  <c r="J186" i="1" s="1"/>
  <c r="K186" i="1" s="1"/>
  <c r="H187" i="1"/>
  <c r="I187" i="1" s="1"/>
  <c r="J187" i="1" s="1"/>
  <c r="K187" i="1" s="1"/>
  <c r="H494" i="1"/>
  <c r="I494" i="1" s="1"/>
  <c r="H374" i="1"/>
  <c r="I374" i="1" s="1"/>
  <c r="H853" i="1"/>
  <c r="I853" i="1" s="1"/>
  <c r="H409" i="1"/>
  <c r="I409" i="1" s="1"/>
  <c r="J409" i="1" s="1"/>
  <c r="K409" i="1" s="1"/>
  <c r="H1017" i="1"/>
  <c r="I1017" i="1" s="1"/>
  <c r="J1017" i="1" s="1"/>
  <c r="K1017" i="1" s="1"/>
  <c r="H1024" i="1"/>
  <c r="I1024" i="1" s="1"/>
  <c r="J1024" i="1" s="1"/>
  <c r="K1024" i="1" s="1"/>
  <c r="H1008" i="1"/>
  <c r="I1008" i="1" s="1"/>
  <c r="J1008" i="1" s="1"/>
  <c r="K1008" i="1" s="1"/>
  <c r="H1005" i="1"/>
  <c r="I1005" i="1" s="1"/>
  <c r="J1005" i="1" s="1"/>
  <c r="K1005" i="1" s="1"/>
  <c r="H340" i="1"/>
  <c r="I340" i="1" s="1"/>
  <c r="H577" i="1"/>
  <c r="I577" i="1" s="1"/>
  <c r="H1001" i="1"/>
  <c r="I1001" i="1" s="1"/>
  <c r="H507" i="1"/>
  <c r="I507" i="1" s="1"/>
  <c r="H1011" i="1"/>
  <c r="I1011" i="1" s="1"/>
  <c r="J1011" i="1" s="1"/>
  <c r="K1011" i="1" s="1"/>
  <c r="H351" i="1"/>
  <c r="I351" i="1" s="1"/>
  <c r="H1009" i="1"/>
  <c r="I1009" i="1" s="1"/>
  <c r="J1009" i="1" s="1"/>
  <c r="K1009" i="1" s="1"/>
  <c r="H995" i="1"/>
  <c r="I995" i="1" s="1"/>
  <c r="J995" i="1" s="1"/>
  <c r="K995" i="1" s="1"/>
  <c r="H384" i="1"/>
  <c r="I384" i="1" s="1"/>
  <c r="H998" i="1"/>
  <c r="I998" i="1" s="1"/>
  <c r="H179" i="1"/>
  <c r="I179" i="1" s="1"/>
  <c r="J179" i="1" s="1"/>
  <c r="K179" i="1" s="1"/>
  <c r="H162" i="1"/>
  <c r="I162" i="1" s="1"/>
  <c r="J162" i="1" s="1"/>
  <c r="K162" i="1" s="1"/>
  <c r="H488" i="1"/>
  <c r="I488" i="1" s="1"/>
  <c r="J488" i="1" s="1"/>
  <c r="K488" i="1" s="1"/>
  <c r="H573" i="1"/>
  <c r="I573" i="1" s="1"/>
  <c r="J573" i="1" s="1"/>
  <c r="K573" i="1" s="1"/>
  <c r="H130" i="1"/>
  <c r="I130" i="1" s="1"/>
  <c r="J130" i="1" s="1"/>
  <c r="K130" i="1" s="1"/>
  <c r="H792" i="1"/>
  <c r="I792" i="1" s="1"/>
  <c r="J792" i="1" s="1"/>
  <c r="K792" i="1" s="1"/>
  <c r="H780" i="1"/>
  <c r="I780" i="1" s="1"/>
  <c r="H553" i="1"/>
  <c r="I553" i="1" s="1"/>
  <c r="J553" i="1" s="1"/>
  <c r="K553" i="1" s="1"/>
  <c r="H558" i="1"/>
  <c r="I558" i="1" s="1"/>
  <c r="H581" i="1"/>
  <c r="I581" i="1" s="1"/>
  <c r="H620" i="1"/>
  <c r="I620" i="1" s="1"/>
  <c r="H624" i="1"/>
  <c r="I624" i="1" s="1"/>
  <c r="J624" i="1" s="1"/>
  <c r="K624" i="1" s="1"/>
  <c r="H865" i="1"/>
  <c r="I865" i="1" s="1"/>
  <c r="J865" i="1" s="1"/>
  <c r="K865" i="1" s="1"/>
  <c r="H866" i="1"/>
  <c r="I866" i="1" s="1"/>
  <c r="J866" i="1" s="1"/>
  <c r="K866" i="1" s="1"/>
  <c r="H860" i="1"/>
  <c r="I860" i="1" s="1"/>
  <c r="H465" i="1"/>
  <c r="I465" i="1" s="1"/>
  <c r="J465" i="1" s="1"/>
  <c r="K465" i="1" s="1"/>
  <c r="H844" i="1"/>
  <c r="I844" i="1" s="1"/>
  <c r="J844" i="1" s="1"/>
  <c r="K844" i="1" s="1"/>
  <c r="H1013" i="1"/>
  <c r="I1013" i="1" s="1"/>
  <c r="J1013" i="1" s="1"/>
  <c r="K1013" i="1" s="1"/>
  <c r="H170" i="1"/>
  <c r="I170" i="1" s="1"/>
  <c r="J170" i="1" s="1"/>
  <c r="K170" i="1" s="1"/>
  <c r="H155" i="1"/>
  <c r="I155" i="1" s="1"/>
  <c r="J155" i="1" s="1"/>
  <c r="K155" i="1" s="1"/>
  <c r="H564" i="1"/>
  <c r="I564" i="1" s="1"/>
  <c r="J564" i="1" s="1"/>
  <c r="K564" i="1" s="1"/>
  <c r="H850" i="1"/>
  <c r="I850" i="1" s="1"/>
  <c r="J850" i="1" s="1"/>
  <c r="K850" i="1" s="1"/>
  <c r="H482" i="1"/>
  <c r="I482" i="1" s="1"/>
  <c r="H994" i="1"/>
  <c r="I994" i="1" s="1"/>
  <c r="H1025" i="1"/>
  <c r="I1025" i="1" s="1"/>
  <c r="H962" i="1"/>
  <c r="I962" i="1" s="1"/>
  <c r="H840" i="1"/>
  <c r="I840" i="1" s="1"/>
  <c r="H188" i="1"/>
  <c r="I188" i="1" s="1"/>
  <c r="J188" i="1" s="1"/>
  <c r="K188" i="1" s="1"/>
  <c r="H139" i="1"/>
  <c r="I139" i="1" s="1"/>
  <c r="J139" i="1" s="1"/>
  <c r="K139" i="1" s="1"/>
  <c r="H700" i="1"/>
  <c r="I700" i="1" s="1"/>
  <c r="J700" i="1" s="1"/>
  <c r="K700" i="1" s="1"/>
  <c r="H39" i="1"/>
  <c r="I39" i="1" s="1"/>
  <c r="H793" i="1"/>
  <c r="I793" i="1" s="1"/>
  <c r="H344" i="1"/>
  <c r="I344" i="1" s="1"/>
  <c r="J344" i="1" s="1"/>
  <c r="K344" i="1" s="1"/>
  <c r="H606" i="1"/>
  <c r="I606" i="1" s="1"/>
  <c r="J606" i="1" s="1"/>
  <c r="K606" i="1" s="1"/>
  <c r="H377" i="1"/>
  <c r="I377" i="1" s="1"/>
  <c r="J377" i="1" s="1"/>
  <c r="K377" i="1" s="1"/>
  <c r="H459" i="1"/>
  <c r="I459" i="1" s="1"/>
  <c r="H990" i="1"/>
  <c r="I990" i="1" s="1"/>
  <c r="J990" i="1" s="1"/>
  <c r="K990" i="1" s="1"/>
  <c r="H112" i="1"/>
  <c r="I112" i="1" s="1"/>
  <c r="J112" i="1" s="1"/>
  <c r="K112" i="1" s="1"/>
  <c r="H694" i="1"/>
  <c r="I694" i="1" s="1"/>
  <c r="J694" i="1" s="1"/>
  <c r="K694" i="1" s="1"/>
  <c r="H365" i="1"/>
  <c r="I365" i="1" s="1"/>
  <c r="J365" i="1" s="1"/>
  <c r="K365" i="1" s="1"/>
  <c r="H48" i="1"/>
  <c r="I48" i="1" s="1"/>
  <c r="J48" i="1" s="1"/>
  <c r="K48" i="1" s="1"/>
  <c r="H481" i="1"/>
  <c r="I481" i="1" s="1"/>
  <c r="H974" i="1"/>
  <c r="I974" i="1" s="1"/>
  <c r="H182" i="1"/>
  <c r="I182" i="1" s="1"/>
  <c r="H392" i="1"/>
  <c r="I392" i="1" s="1"/>
  <c r="J392" i="1" s="1"/>
  <c r="K392" i="1" s="1"/>
  <c r="H371" i="1"/>
  <c r="I371" i="1" s="1"/>
  <c r="J371" i="1" s="1"/>
  <c r="K371" i="1" s="1"/>
  <c r="H510" i="1"/>
  <c r="I510" i="1" s="1"/>
  <c r="H453" i="1"/>
  <c r="I453" i="1" s="1"/>
  <c r="J453" i="1" s="1"/>
  <c r="K453" i="1" s="1"/>
  <c r="H412" i="1"/>
  <c r="I412" i="1" s="1"/>
  <c r="J412" i="1" s="1"/>
  <c r="K412" i="1" s="1"/>
  <c r="H689" i="1"/>
  <c r="I689" i="1" s="1"/>
  <c r="H686" i="1"/>
  <c r="I686" i="1" s="1"/>
  <c r="J686" i="1" s="1"/>
  <c r="K686" i="1" s="1"/>
  <c r="H566" i="1"/>
  <c r="I566" i="1" s="1"/>
  <c r="H970" i="1"/>
  <c r="I970" i="1" s="1"/>
  <c r="J970" i="1" s="1"/>
  <c r="K970" i="1" s="1"/>
  <c r="H242" i="1"/>
  <c r="I242" i="1" s="1"/>
  <c r="J242" i="1" s="1"/>
  <c r="K242" i="1" s="1"/>
  <c r="H413" i="1"/>
  <c r="I413" i="1" s="1"/>
  <c r="H357" i="1"/>
  <c r="I357" i="1" s="1"/>
  <c r="J357" i="1" s="1"/>
  <c r="K357" i="1" s="1"/>
  <c r="H480" i="1"/>
  <c r="I480" i="1" s="1"/>
  <c r="J480" i="1" s="1"/>
  <c r="K480" i="1" s="1"/>
  <c r="H834" i="1"/>
  <c r="I834" i="1" s="1"/>
  <c r="H779" i="1"/>
  <c r="I779" i="1" s="1"/>
  <c r="H859" i="1"/>
  <c r="I859" i="1" s="1"/>
  <c r="J859" i="1" s="1"/>
  <c r="K859" i="1" s="1"/>
  <c r="H966" i="1"/>
  <c r="I966" i="1" s="1"/>
  <c r="J966" i="1" s="1"/>
  <c r="K966" i="1" s="1"/>
  <c r="H104" i="1"/>
  <c r="I104" i="1" s="1"/>
  <c r="J104" i="1" s="1"/>
  <c r="K104" i="1" s="1"/>
  <c r="H148" i="1"/>
  <c r="I148" i="1" s="1"/>
  <c r="H601" i="1"/>
  <c r="I601" i="1" s="1"/>
  <c r="J601" i="1" s="1"/>
  <c r="K601" i="1" s="1"/>
  <c r="H639" i="1"/>
  <c r="I639" i="1" s="1"/>
  <c r="H626" i="1"/>
  <c r="I626" i="1" s="1"/>
  <c r="H856" i="1"/>
  <c r="I856" i="1" s="1"/>
  <c r="J856" i="1" s="1"/>
  <c r="K856" i="1" s="1"/>
  <c r="H567" i="1"/>
  <c r="I567" i="1" s="1"/>
  <c r="H491" i="1"/>
  <c r="I491" i="1" s="1"/>
  <c r="J491" i="1" s="1"/>
  <c r="K491" i="1" s="1"/>
  <c r="H60" i="1"/>
  <c r="I60" i="1" s="1"/>
  <c r="J60" i="1" s="1"/>
  <c r="K60" i="1" s="1"/>
  <c r="H368" i="1"/>
  <c r="I368" i="1" s="1"/>
  <c r="H360" i="1"/>
  <c r="I360" i="1" s="1"/>
  <c r="J360" i="1" s="1"/>
  <c r="K360" i="1" s="1"/>
  <c r="H36" i="1"/>
  <c r="I36" i="1" s="1"/>
  <c r="J36" i="1" s="1"/>
  <c r="K36" i="1" s="1"/>
  <c r="H40" i="1"/>
  <c r="I40" i="1" s="1"/>
  <c r="H542" i="1"/>
  <c r="I542" i="1" s="1"/>
  <c r="H592" i="1"/>
  <c r="I592" i="1" s="1"/>
  <c r="J592" i="1" s="1"/>
  <c r="K592" i="1" s="1"/>
  <c r="H580" i="1"/>
  <c r="I580" i="1" s="1"/>
  <c r="J580" i="1" s="1"/>
  <c r="K580" i="1" s="1"/>
  <c r="H608" i="1"/>
  <c r="I608" i="1" s="1"/>
  <c r="J608" i="1" s="1"/>
  <c r="K608" i="1" s="1"/>
  <c r="H636" i="1"/>
  <c r="I636" i="1" s="1"/>
  <c r="H616" i="1"/>
  <c r="I616" i="1" s="1"/>
  <c r="H827" i="1"/>
  <c r="I827" i="1" s="1"/>
  <c r="H813" i="1"/>
  <c r="I813" i="1" s="1"/>
  <c r="J813" i="1" s="1"/>
  <c r="K813" i="1" s="1"/>
  <c r="H574" i="1"/>
  <c r="I574" i="1" s="1"/>
  <c r="J574" i="1" s="1"/>
  <c r="K574" i="1" s="1"/>
  <c r="H618" i="1"/>
  <c r="I618" i="1" s="1"/>
  <c r="J618" i="1" s="1"/>
  <c r="K618" i="1" s="1"/>
  <c r="H153" i="1"/>
  <c r="I153" i="1" s="1"/>
  <c r="J153" i="1" s="1"/>
  <c r="K153" i="1" s="1"/>
  <c r="H879" i="1"/>
  <c r="I879" i="1" s="1"/>
  <c r="J879" i="1" s="1"/>
  <c r="K879" i="1" s="1"/>
  <c r="H877" i="1"/>
  <c r="I877" i="1" s="1"/>
  <c r="J877" i="1" s="1"/>
  <c r="K877" i="1" s="1"/>
  <c r="H64" i="1"/>
  <c r="I64" i="1" s="1"/>
  <c r="J64" i="1" s="1"/>
  <c r="K64" i="1" s="1"/>
  <c r="H575" i="1"/>
  <c r="I575" i="1" s="1"/>
  <c r="J575" i="1" s="1"/>
  <c r="K575" i="1" s="1"/>
  <c r="H177" i="1"/>
  <c r="I177" i="1" s="1"/>
  <c r="H876" i="1"/>
  <c r="I876" i="1" s="1"/>
  <c r="H151" i="1"/>
  <c r="I151" i="1" s="1"/>
  <c r="J151" i="1" s="1"/>
  <c r="K151" i="1" s="1"/>
  <c r="H837" i="1"/>
  <c r="I837" i="1" s="1"/>
  <c r="J837" i="1" s="1"/>
  <c r="K837" i="1" s="1"/>
  <c r="H245" i="1"/>
  <c r="I245" i="1" s="1"/>
  <c r="J245" i="1" s="1"/>
  <c r="K245" i="1" s="1"/>
  <c r="H237" i="1"/>
  <c r="I237" i="1" s="1"/>
  <c r="J237" i="1" s="1"/>
  <c r="K237" i="1" s="1"/>
  <c r="H776" i="1"/>
  <c r="I776" i="1" s="1"/>
  <c r="J776" i="1" s="1"/>
  <c r="K776" i="1" s="1"/>
  <c r="H600" i="1"/>
  <c r="I600" i="1" s="1"/>
  <c r="J600" i="1" s="1"/>
  <c r="K600" i="1" s="1"/>
  <c r="H882" i="1"/>
  <c r="I882" i="1" s="1"/>
  <c r="J882" i="1" s="1"/>
  <c r="K882" i="1" s="1"/>
  <c r="H373" i="1"/>
  <c r="I373" i="1" s="1"/>
  <c r="J373" i="1" s="1"/>
  <c r="K373" i="1" s="1"/>
  <c r="H381" i="1"/>
  <c r="I381" i="1" s="1"/>
  <c r="J381" i="1" s="1"/>
  <c r="K381" i="1" s="1"/>
  <c r="H795" i="1"/>
  <c r="I795" i="1" s="1"/>
  <c r="J795" i="1" s="1"/>
  <c r="K795" i="1" s="1"/>
  <c r="H128" i="1"/>
  <c r="I128" i="1" s="1"/>
  <c r="J128" i="1" s="1"/>
  <c r="K128" i="1" s="1"/>
  <c r="H692" i="1"/>
  <c r="I692" i="1" s="1"/>
  <c r="J692" i="1" s="1"/>
  <c r="K692" i="1" s="1"/>
  <c r="H872" i="1"/>
  <c r="I872" i="1" s="1"/>
  <c r="J872" i="1" s="1"/>
  <c r="K872" i="1" s="1"/>
  <c r="H570" i="1"/>
  <c r="I570" i="1" s="1"/>
  <c r="J570" i="1" s="1"/>
  <c r="K570" i="1" s="1"/>
  <c r="H559" i="1"/>
  <c r="I559" i="1" s="1"/>
  <c r="H561" i="1"/>
  <c r="I561" i="1" s="1"/>
  <c r="H841" i="1"/>
  <c r="I841" i="1" s="1"/>
  <c r="J841" i="1" s="1"/>
  <c r="K841" i="1" s="1"/>
  <c r="H407" i="1"/>
  <c r="I407" i="1" s="1"/>
  <c r="J407" i="1" s="1"/>
  <c r="K407" i="1" s="1"/>
  <c r="H229" i="1"/>
  <c r="I229" i="1" s="1"/>
  <c r="J229" i="1" s="1"/>
  <c r="K229" i="1" s="1"/>
  <c r="H175" i="1"/>
  <c r="I175" i="1" s="1"/>
  <c r="J175" i="1" s="1"/>
  <c r="K175" i="1" s="1"/>
  <c r="H508" i="1"/>
  <c r="I508" i="1" s="1"/>
  <c r="H512" i="1"/>
  <c r="I512" i="1" s="1"/>
  <c r="J512" i="1" s="1"/>
  <c r="K512" i="1" s="1"/>
  <c r="H546" i="1"/>
  <c r="I546" i="1" s="1"/>
  <c r="H697" i="1"/>
  <c r="I697" i="1" s="1"/>
  <c r="J697" i="1" s="1"/>
  <c r="K697" i="1" s="1"/>
  <c r="H986" i="1"/>
  <c r="I986" i="1" s="1"/>
  <c r="J986" i="1" s="1"/>
  <c r="K986" i="1" s="1"/>
  <c r="H957" i="1"/>
  <c r="I957" i="1" s="1"/>
  <c r="H945" i="1"/>
  <c r="I945" i="1" s="1"/>
  <c r="J945" i="1" s="1"/>
  <c r="K945" i="1" s="1"/>
  <c r="H934" i="1"/>
  <c r="I934" i="1" s="1"/>
  <c r="J934" i="1" s="1"/>
  <c r="K934" i="1" s="1"/>
  <c r="H495" i="1"/>
  <c r="I495" i="1" s="1"/>
  <c r="J495" i="1" s="1"/>
  <c r="K495" i="1" s="1"/>
  <c r="H555" i="1"/>
  <c r="I555" i="1" s="1"/>
  <c r="J555" i="1" s="1"/>
  <c r="K555" i="1" s="1"/>
  <c r="H257" i="1"/>
  <c r="I257" i="1" s="1"/>
  <c r="J257" i="1" s="1"/>
  <c r="K257" i="1" s="1"/>
  <c r="H982" i="1"/>
  <c r="I982" i="1" s="1"/>
  <c r="H120" i="1"/>
  <c r="I120" i="1" s="1"/>
  <c r="J120" i="1" s="1"/>
  <c r="K120" i="1" s="1"/>
  <c r="H232" i="1"/>
  <c r="I232" i="1" s="1"/>
  <c r="J232" i="1" s="1"/>
  <c r="K232" i="1" s="1"/>
  <c r="H166" i="1"/>
  <c r="I166" i="1" s="1"/>
  <c r="H490" i="1"/>
  <c r="I490" i="1" s="1"/>
  <c r="J490" i="1" s="1"/>
  <c r="K490" i="1" s="1"/>
  <c r="H476" i="1"/>
  <c r="I476" i="1" s="1"/>
  <c r="J476" i="1" s="1"/>
  <c r="K476" i="1" s="1"/>
  <c r="H556" i="1"/>
  <c r="I556" i="1" s="1"/>
  <c r="J556" i="1" s="1"/>
  <c r="K556" i="1" s="1"/>
  <c r="H630" i="1"/>
  <c r="I630" i="1" s="1"/>
  <c r="H634" i="1"/>
  <c r="I634" i="1" s="1"/>
  <c r="J634" i="1" s="1"/>
  <c r="K634" i="1" s="1"/>
  <c r="H631" i="1"/>
  <c r="I631" i="1" s="1"/>
  <c r="J631" i="1" s="1"/>
  <c r="K631" i="1" s="1"/>
  <c r="H565" i="1"/>
  <c r="I565" i="1" s="1"/>
  <c r="J565" i="1" s="1"/>
  <c r="K565" i="1" s="1"/>
  <c r="H116" i="1"/>
  <c r="I116" i="1" s="1"/>
  <c r="J116" i="1" s="1"/>
  <c r="K116" i="1" s="1"/>
  <c r="H759" i="1"/>
  <c r="I759" i="1" s="1"/>
  <c r="J759" i="1" s="1"/>
  <c r="K759" i="1" s="1"/>
  <c r="H746" i="1"/>
  <c r="I746" i="1" s="1"/>
  <c r="J746" i="1" s="1"/>
  <c r="K746" i="1" s="1"/>
  <c r="H740" i="1"/>
  <c r="I740" i="1" s="1"/>
  <c r="J740" i="1" s="1"/>
  <c r="K740" i="1" s="1"/>
  <c r="H761" i="1"/>
  <c r="I761" i="1" s="1"/>
  <c r="H226" i="1"/>
  <c r="I226" i="1" s="1"/>
  <c r="J226" i="1" s="1"/>
  <c r="K226" i="1" s="1"/>
  <c r="H458" i="1"/>
  <c r="I458" i="1" s="1"/>
  <c r="J458" i="1" s="1"/>
  <c r="K458" i="1" s="1"/>
  <c r="H978" i="1"/>
  <c r="I978" i="1" s="1"/>
  <c r="J978" i="1" s="1"/>
  <c r="K978" i="1" s="1"/>
  <c r="H410" i="1"/>
  <c r="I410" i="1" s="1"/>
  <c r="J410" i="1" s="1"/>
  <c r="K410" i="1" s="1"/>
  <c r="H411" i="1"/>
  <c r="I411" i="1" s="1"/>
  <c r="J411" i="1" s="1"/>
  <c r="K411" i="1" s="1"/>
  <c r="H415" i="1"/>
  <c r="I415" i="1" s="1"/>
  <c r="H505" i="1"/>
  <c r="I505" i="1" s="1"/>
  <c r="J505" i="1" s="1"/>
  <c r="K505" i="1" s="1"/>
  <c r="H571" i="1"/>
  <c r="I571" i="1" s="1"/>
  <c r="J571" i="1" s="1"/>
  <c r="K571" i="1" s="1"/>
  <c r="H338" i="1"/>
  <c r="I338" i="1" s="1"/>
  <c r="J338" i="1" s="1"/>
  <c r="K338" i="1" s="1"/>
  <c r="H576" i="1"/>
  <c r="I576" i="1" s="1"/>
  <c r="J576" i="1" s="1"/>
  <c r="K576" i="1" s="1"/>
  <c r="H557" i="1"/>
  <c r="I557" i="1" s="1"/>
  <c r="J557" i="1" s="1"/>
  <c r="K557" i="1" s="1"/>
  <c r="H348" i="1"/>
  <c r="I348" i="1" s="1"/>
  <c r="J348" i="1" s="1"/>
  <c r="K348" i="1" s="1"/>
  <c r="H678" i="1"/>
  <c r="I678" i="1" s="1"/>
  <c r="J678" i="1" s="1"/>
  <c r="K678" i="1" s="1"/>
  <c r="H475" i="1"/>
  <c r="I475" i="1" s="1"/>
  <c r="H269" i="1"/>
  <c r="I269" i="1" s="1"/>
  <c r="J269" i="1" s="1"/>
  <c r="K269" i="1" s="1"/>
  <c r="H288" i="1"/>
  <c r="I288" i="1" s="1"/>
  <c r="J288" i="1" s="1"/>
  <c r="K288" i="1" s="1"/>
  <c r="H277" i="1"/>
  <c r="I277" i="1" s="1"/>
  <c r="H803" i="1"/>
  <c r="I803" i="1" s="1"/>
  <c r="J803" i="1" s="1"/>
  <c r="K803" i="1" s="1"/>
  <c r="H816" i="1"/>
  <c r="I816" i="1" s="1"/>
  <c r="J816" i="1" s="1"/>
  <c r="K816" i="1" s="1"/>
  <c r="J148" i="1"/>
  <c r="K148" i="1" s="1"/>
  <c r="J39" i="1"/>
  <c r="K39" i="1" s="1"/>
  <c r="J374" i="1"/>
  <c r="K374" i="1" s="1"/>
  <c r="H721" i="1"/>
  <c r="I721" i="1" s="1"/>
  <c r="J721" i="1" s="1"/>
  <c r="K721" i="1" s="1"/>
  <c r="H726" i="1"/>
  <c r="I726" i="1" s="1"/>
  <c r="H734" i="1"/>
  <c r="I734" i="1" s="1"/>
  <c r="J734" i="1" s="1"/>
  <c r="K734" i="1" s="1"/>
  <c r="H724" i="1"/>
  <c r="I724" i="1" s="1"/>
  <c r="J724" i="1" s="1"/>
  <c r="K724" i="1" s="1"/>
  <c r="H214" i="1"/>
  <c r="I214" i="1" s="1"/>
  <c r="J214" i="1" s="1"/>
  <c r="K214" i="1" s="1"/>
  <c r="J248" i="1"/>
  <c r="K248" i="1" s="1"/>
  <c r="H902" i="1"/>
  <c r="I902" i="1" s="1"/>
  <c r="J902" i="1" s="1"/>
  <c r="K902" i="1" s="1"/>
  <c r="H426" i="1"/>
  <c r="I426" i="1" s="1"/>
  <c r="J426" i="1" s="1"/>
  <c r="K426" i="1" s="1"/>
  <c r="J451" i="1"/>
  <c r="K451" i="1" s="1"/>
  <c r="H418" i="1"/>
  <c r="I418" i="1" s="1"/>
  <c r="J418" i="1" s="1"/>
  <c r="K418" i="1" s="1"/>
  <c r="J479" i="1"/>
  <c r="K479" i="1" s="1"/>
  <c r="H660" i="1"/>
  <c r="I660" i="1" s="1"/>
  <c r="J660" i="1" s="1"/>
  <c r="K660" i="1" s="1"/>
  <c r="H668" i="1"/>
  <c r="I668" i="1" s="1"/>
  <c r="J668" i="1" s="1"/>
  <c r="K668" i="1" s="1"/>
  <c r="J704" i="1"/>
  <c r="K704" i="1" s="1"/>
  <c r="H295" i="1"/>
  <c r="I295" i="1" s="1"/>
  <c r="J295" i="1" s="1"/>
  <c r="K295" i="1" s="1"/>
  <c r="H84" i="1"/>
  <c r="I84" i="1" s="1"/>
  <c r="J84" i="1" s="1"/>
  <c r="K84" i="1" s="1"/>
  <c r="H88" i="1"/>
  <c r="I88" i="1" s="1"/>
  <c r="J88" i="1" s="1"/>
  <c r="K88" i="1" s="1"/>
  <c r="H92" i="1"/>
  <c r="I92" i="1" s="1"/>
  <c r="J92" i="1" s="1"/>
  <c r="K92" i="1" s="1"/>
  <c r="J983" i="1"/>
  <c r="K983" i="1" s="1"/>
  <c r="H530" i="1"/>
  <c r="I530" i="1" s="1"/>
  <c r="J530" i="1" s="1"/>
  <c r="K530" i="1" s="1"/>
  <c r="H537" i="1"/>
  <c r="I537" i="1" s="1"/>
  <c r="J537" i="1" s="1"/>
  <c r="K537" i="1" s="1"/>
  <c r="H627" i="1"/>
  <c r="I627" i="1" s="1"/>
  <c r="J627" i="1" s="1"/>
  <c r="K627" i="1" s="1"/>
  <c r="J895" i="1"/>
  <c r="K895" i="1" s="1"/>
  <c r="J887" i="1"/>
  <c r="K887" i="1" s="1"/>
  <c r="H275" i="1"/>
  <c r="I275" i="1" s="1"/>
  <c r="H262" i="1"/>
  <c r="I262" i="1" s="1"/>
  <c r="J262" i="1" s="1"/>
  <c r="K262" i="1" s="1"/>
  <c r="J858" i="1"/>
  <c r="K858" i="1" s="1"/>
  <c r="J855" i="1"/>
  <c r="K855" i="1" s="1"/>
  <c r="J154" i="1"/>
  <c r="K154" i="1" s="1"/>
  <c r="J355" i="1"/>
  <c r="K355" i="1" s="1"/>
  <c r="J382" i="1"/>
  <c r="K382" i="1" s="1"/>
  <c r="J370" i="1"/>
  <c r="K370" i="1" s="1"/>
  <c r="J358" i="1"/>
  <c r="K358" i="1" s="1"/>
  <c r="H736" i="1"/>
  <c r="I736" i="1" s="1"/>
  <c r="H723" i="1"/>
  <c r="I723" i="1" s="1"/>
  <c r="H731" i="1"/>
  <c r="I731" i="1" s="1"/>
  <c r="H712" i="1"/>
  <c r="I712" i="1" s="1"/>
  <c r="J712" i="1" s="1"/>
  <c r="K712" i="1" s="1"/>
  <c r="H928" i="1"/>
  <c r="I928" i="1" s="1"/>
  <c r="H918" i="1"/>
  <c r="I918" i="1" s="1"/>
  <c r="J918" i="1" s="1"/>
  <c r="K918" i="1" s="1"/>
  <c r="H920" i="1"/>
  <c r="I920" i="1" s="1"/>
  <c r="J920" i="1" s="1"/>
  <c r="K920" i="1" s="1"/>
  <c r="H1018" i="1"/>
  <c r="I1018" i="1" s="1"/>
  <c r="J1018" i="1" s="1"/>
  <c r="K1018" i="1" s="1"/>
  <c r="H437" i="1"/>
  <c r="I437" i="1" s="1"/>
  <c r="J437" i="1" s="1"/>
  <c r="K437" i="1" s="1"/>
  <c r="H435" i="1"/>
  <c r="I435" i="1" s="1"/>
  <c r="J435" i="1" s="1"/>
  <c r="K435" i="1" s="1"/>
  <c r="H443" i="1"/>
  <c r="I443" i="1" s="1"/>
  <c r="J443" i="1" s="1"/>
  <c r="K443" i="1" s="1"/>
  <c r="J463" i="1"/>
  <c r="K463" i="1" s="1"/>
  <c r="J687" i="1"/>
  <c r="K687" i="1" s="1"/>
  <c r="H644" i="1"/>
  <c r="I644" i="1" s="1"/>
  <c r="J644" i="1" s="1"/>
  <c r="K644" i="1" s="1"/>
  <c r="H652" i="1"/>
  <c r="I652" i="1" s="1"/>
  <c r="J652" i="1" s="1"/>
  <c r="K652" i="1" s="1"/>
  <c r="J688" i="1"/>
  <c r="K688" i="1" s="1"/>
  <c r="H299" i="1"/>
  <c r="I299" i="1" s="1"/>
  <c r="J299" i="1" s="1"/>
  <c r="K299" i="1" s="1"/>
  <c r="H304" i="1"/>
  <c r="I304" i="1" s="1"/>
  <c r="J304" i="1" s="1"/>
  <c r="K304" i="1" s="1"/>
  <c r="J342" i="1"/>
  <c r="K342" i="1" s="1"/>
  <c r="J336" i="1"/>
  <c r="K336" i="1" s="1"/>
  <c r="H87" i="1"/>
  <c r="I87" i="1" s="1"/>
  <c r="H68" i="1"/>
  <c r="I68" i="1" s="1"/>
  <c r="H72" i="1"/>
  <c r="I72" i="1" s="1"/>
  <c r="J72" i="1" s="1"/>
  <c r="K72" i="1" s="1"/>
  <c r="H76" i="1"/>
  <c r="I76" i="1" s="1"/>
  <c r="J76" i="1" s="1"/>
  <c r="K76" i="1" s="1"/>
  <c r="J786" i="1"/>
  <c r="K786" i="1" s="1"/>
  <c r="J799" i="1"/>
  <c r="K799" i="1" s="1"/>
  <c r="J787" i="1"/>
  <c r="K787" i="1" s="1"/>
  <c r="H747" i="1"/>
  <c r="I747" i="1" s="1"/>
  <c r="J747" i="1" s="1"/>
  <c r="K747" i="1" s="1"/>
  <c r="J967" i="1"/>
  <c r="K967" i="1" s="1"/>
  <c r="H938" i="1"/>
  <c r="I938" i="1" s="1"/>
  <c r="J938" i="1" s="1"/>
  <c r="K938" i="1" s="1"/>
  <c r="H940" i="1"/>
  <c r="I940" i="1" s="1"/>
  <c r="J940" i="1" s="1"/>
  <c r="K940" i="1" s="1"/>
  <c r="J988" i="1"/>
  <c r="K988" i="1" s="1"/>
  <c r="H511" i="1"/>
  <c r="I511" i="1" s="1"/>
  <c r="J511" i="1" s="1"/>
  <c r="K511" i="1" s="1"/>
  <c r="J502" i="1"/>
  <c r="K502" i="1" s="1"/>
  <c r="H527" i="1"/>
  <c r="I527" i="1" s="1"/>
  <c r="J527" i="1" s="1"/>
  <c r="K527" i="1" s="1"/>
  <c r="H526" i="1"/>
  <c r="I526" i="1" s="1"/>
  <c r="H604" i="1"/>
  <c r="I604" i="1" s="1"/>
  <c r="J604" i="1" s="1"/>
  <c r="K604" i="1" s="1"/>
  <c r="H585" i="1"/>
  <c r="I585" i="1" s="1"/>
  <c r="J585" i="1" s="1"/>
  <c r="K585" i="1" s="1"/>
  <c r="H584" i="1"/>
  <c r="I584" i="1" s="1"/>
  <c r="J584" i="1" s="1"/>
  <c r="K584" i="1" s="1"/>
  <c r="J871" i="1"/>
  <c r="K871" i="1" s="1"/>
  <c r="H261" i="1"/>
  <c r="I261" i="1" s="1"/>
  <c r="J261" i="1" s="1"/>
  <c r="K261" i="1" s="1"/>
  <c r="H278" i="1"/>
  <c r="I278" i="1" s="1"/>
  <c r="J278" i="1" s="1"/>
  <c r="K278" i="1" s="1"/>
  <c r="H279" i="1"/>
  <c r="I279" i="1" s="1"/>
  <c r="J279" i="1" s="1"/>
  <c r="K279" i="1" s="1"/>
  <c r="H831" i="1"/>
  <c r="I831" i="1" s="1"/>
  <c r="J831" i="1" s="1"/>
  <c r="K831" i="1" s="1"/>
  <c r="J842" i="1"/>
  <c r="K842" i="1" s="1"/>
  <c r="J135" i="1"/>
  <c r="K135" i="1" s="1"/>
  <c r="J152" i="1"/>
  <c r="K152" i="1" s="1"/>
  <c r="J61" i="1"/>
  <c r="K61" i="1" s="1"/>
  <c r="J65" i="1"/>
  <c r="K65" i="1" s="1"/>
  <c r="J366" i="1"/>
  <c r="K366" i="1" s="1"/>
  <c r="J354" i="1"/>
  <c r="K354" i="1" s="1"/>
  <c r="H711" i="1"/>
  <c r="I711" i="1" s="1"/>
  <c r="J711" i="1" s="1"/>
  <c r="K711" i="1" s="1"/>
  <c r="H719" i="1"/>
  <c r="I719" i="1" s="1"/>
  <c r="J719" i="1" s="1"/>
  <c r="K719" i="1" s="1"/>
  <c r="H730" i="1"/>
  <c r="I730" i="1" s="1"/>
  <c r="J730" i="1" s="1"/>
  <c r="K730" i="1" s="1"/>
  <c r="H212" i="1"/>
  <c r="I212" i="1" s="1"/>
  <c r="J212" i="1" s="1"/>
  <c r="K212" i="1" s="1"/>
  <c r="H218" i="1"/>
  <c r="I218" i="1" s="1"/>
  <c r="J218" i="1" s="1"/>
  <c r="K218" i="1" s="1"/>
  <c r="H215" i="1"/>
  <c r="I215" i="1" s="1"/>
  <c r="J215" i="1" s="1"/>
  <c r="K215" i="1" s="1"/>
  <c r="H904" i="1"/>
  <c r="I904" i="1" s="1"/>
  <c r="J904" i="1" s="1"/>
  <c r="K904" i="1" s="1"/>
  <c r="H906" i="1"/>
  <c r="I906" i="1" s="1"/>
  <c r="J906" i="1" s="1"/>
  <c r="K906" i="1" s="1"/>
  <c r="J469" i="1"/>
  <c r="K469" i="1" s="1"/>
  <c r="H430" i="1"/>
  <c r="I430" i="1" s="1"/>
  <c r="H427" i="1"/>
  <c r="I427" i="1" s="1"/>
  <c r="J427" i="1" s="1"/>
  <c r="K427" i="1" s="1"/>
  <c r="H449" i="1"/>
  <c r="I449" i="1" s="1"/>
  <c r="J449" i="1" s="1"/>
  <c r="K449" i="1" s="1"/>
  <c r="J681" i="1"/>
  <c r="K681" i="1" s="1"/>
  <c r="H653" i="1"/>
  <c r="I653" i="1" s="1"/>
  <c r="J653" i="1" s="1"/>
  <c r="K653" i="1" s="1"/>
  <c r="J691" i="1"/>
  <c r="K691" i="1" s="1"/>
  <c r="H658" i="1"/>
  <c r="I658" i="1" s="1"/>
  <c r="J658" i="1" s="1"/>
  <c r="K658" i="1" s="1"/>
  <c r="H296" i="1"/>
  <c r="I296" i="1" s="1"/>
  <c r="J296" i="1" s="1"/>
  <c r="K296" i="1" s="1"/>
  <c r="H301" i="1"/>
  <c r="I301" i="1" s="1"/>
  <c r="J301" i="1" s="1"/>
  <c r="K301" i="1" s="1"/>
  <c r="J328" i="1"/>
  <c r="K328" i="1" s="1"/>
  <c r="H306" i="1"/>
  <c r="I306" i="1" s="1"/>
  <c r="J306" i="1" s="1"/>
  <c r="K306" i="1" s="1"/>
  <c r="H71" i="1"/>
  <c r="I71" i="1" s="1"/>
  <c r="J71" i="1" s="1"/>
  <c r="K71" i="1" s="1"/>
  <c r="J123" i="1"/>
  <c r="K123" i="1" s="1"/>
  <c r="J127" i="1"/>
  <c r="K127" i="1" s="1"/>
  <c r="J115" i="1"/>
  <c r="K115" i="1" s="1"/>
  <c r="J770" i="1"/>
  <c r="K770" i="1" s="1"/>
  <c r="J783" i="1"/>
  <c r="K783" i="1" s="1"/>
  <c r="J771" i="1"/>
  <c r="K771" i="1" s="1"/>
  <c r="J800" i="1"/>
  <c r="K800" i="1" s="1"/>
  <c r="H953" i="1"/>
  <c r="I953" i="1" s="1"/>
  <c r="J953" i="1" s="1"/>
  <c r="K953" i="1" s="1"/>
  <c r="J980" i="1"/>
  <c r="K980" i="1" s="1"/>
  <c r="H932" i="1"/>
  <c r="I932" i="1" s="1"/>
  <c r="J972" i="1"/>
  <c r="K972" i="1" s="1"/>
  <c r="J193" i="1"/>
  <c r="K193" i="1" s="1"/>
  <c r="J168" i="1"/>
  <c r="K168" i="1" s="1"/>
  <c r="J403" i="1"/>
  <c r="K403" i="1" s="1"/>
  <c r="J416" i="1"/>
  <c r="K416" i="1" s="1"/>
  <c r="J404" i="1"/>
  <c r="K404" i="1" s="1"/>
  <c r="J513" i="1"/>
  <c r="K513" i="1" s="1"/>
  <c r="H568" i="1"/>
  <c r="I568" i="1" s="1"/>
  <c r="J568" i="1" s="1"/>
  <c r="K568" i="1" s="1"/>
  <c r="J566" i="1"/>
  <c r="K566" i="1" s="1"/>
  <c r="H544" i="1"/>
  <c r="I544" i="1" s="1"/>
  <c r="J544" i="1" s="1"/>
  <c r="K544" i="1" s="1"/>
  <c r="H516" i="1"/>
  <c r="I516" i="1" s="1"/>
  <c r="J516" i="1" s="1"/>
  <c r="K516" i="1" s="1"/>
  <c r="H525" i="1"/>
  <c r="I525" i="1" s="1"/>
  <c r="J525" i="1" s="1"/>
  <c r="K525" i="1" s="1"/>
  <c r="H582" i="1"/>
  <c r="I582" i="1" s="1"/>
  <c r="J582" i="1" s="1"/>
  <c r="K582" i="1" s="1"/>
  <c r="H594" i="1"/>
  <c r="I594" i="1" s="1"/>
  <c r="J594" i="1" s="1"/>
  <c r="K594" i="1" s="1"/>
  <c r="H635" i="1"/>
  <c r="I635" i="1" s="1"/>
  <c r="J635" i="1" s="1"/>
  <c r="K635" i="1" s="1"/>
  <c r="H633" i="1"/>
  <c r="I633" i="1" s="1"/>
  <c r="J633" i="1" s="1"/>
  <c r="K633" i="1" s="1"/>
  <c r="J874" i="1"/>
  <c r="K874" i="1" s="1"/>
  <c r="J1006" i="1"/>
  <c r="K1006" i="1" s="1"/>
  <c r="J1003" i="1"/>
  <c r="K1003" i="1" s="1"/>
  <c r="H267" i="1"/>
  <c r="I267" i="1" s="1"/>
  <c r="J267" i="1" s="1"/>
  <c r="K267" i="1" s="1"/>
  <c r="H283" i="1"/>
  <c r="I283" i="1" s="1"/>
  <c r="J283" i="1" s="1"/>
  <c r="K283" i="1" s="1"/>
  <c r="H263" i="1"/>
  <c r="I263" i="1" s="1"/>
  <c r="J263" i="1" s="1"/>
  <c r="K263" i="1" s="1"/>
  <c r="J853" i="1"/>
  <c r="K853" i="1" s="1"/>
  <c r="H815" i="1"/>
  <c r="I815" i="1" s="1"/>
  <c r="J815" i="1" s="1"/>
  <c r="K815" i="1" s="1"/>
  <c r="H828" i="1"/>
  <c r="I828" i="1" s="1"/>
  <c r="J828" i="1" s="1"/>
  <c r="K828" i="1" s="1"/>
  <c r="H825" i="1"/>
  <c r="I825" i="1" s="1"/>
  <c r="J825" i="1" s="1"/>
  <c r="K825" i="1" s="1"/>
  <c r="J156" i="1"/>
  <c r="K156" i="1" s="1"/>
  <c r="J132" i="1"/>
  <c r="K132" i="1" s="1"/>
  <c r="J136" i="1"/>
  <c r="K136" i="1" s="1"/>
  <c r="J41" i="1"/>
  <c r="K41" i="1" s="1"/>
  <c r="J45" i="1"/>
  <c r="K45" i="1" s="1"/>
  <c r="J49" i="1"/>
  <c r="K49" i="1" s="1"/>
  <c r="H324" i="1"/>
  <c r="I324" i="1" s="1"/>
  <c r="J324" i="1" s="1"/>
  <c r="K324" i="1" s="1"/>
  <c r="J383" i="1"/>
  <c r="K383" i="1" s="1"/>
  <c r="J761" i="1"/>
  <c r="K761" i="1" s="1"/>
  <c r="H714" i="1"/>
  <c r="I714" i="1" s="1"/>
  <c r="J714" i="1" s="1"/>
  <c r="K714" i="1" s="1"/>
  <c r="J241" i="1"/>
  <c r="K241" i="1" s="1"/>
  <c r="H196" i="1"/>
  <c r="I196" i="1" s="1"/>
  <c r="J196" i="1" s="1"/>
  <c r="K196" i="1" s="1"/>
  <c r="H202" i="1"/>
  <c r="I202" i="1" s="1"/>
  <c r="J202" i="1" s="1"/>
  <c r="K202" i="1" s="1"/>
  <c r="H199" i="1"/>
  <c r="I199" i="1" s="1"/>
  <c r="J199" i="1" s="1"/>
  <c r="K199" i="1" s="1"/>
  <c r="H903" i="1"/>
  <c r="I903" i="1" s="1"/>
  <c r="J903" i="1" s="1"/>
  <c r="K903" i="1" s="1"/>
  <c r="J455" i="1"/>
  <c r="K455" i="1" s="1"/>
  <c r="H420" i="1"/>
  <c r="I420" i="1" s="1"/>
  <c r="J420" i="1" s="1"/>
  <c r="K420" i="1" s="1"/>
  <c r="H433" i="1"/>
  <c r="I433" i="1" s="1"/>
  <c r="H671" i="1"/>
  <c r="I671" i="1" s="1"/>
  <c r="J671" i="1" s="1"/>
  <c r="K671" i="1" s="1"/>
  <c r="H655" i="1"/>
  <c r="I655" i="1" s="1"/>
  <c r="J655" i="1" s="1"/>
  <c r="K655" i="1" s="1"/>
  <c r="J675" i="1"/>
  <c r="K675" i="1" s="1"/>
  <c r="H642" i="1"/>
  <c r="I642" i="1" s="1"/>
  <c r="J642" i="1" s="1"/>
  <c r="K642" i="1" s="1"/>
  <c r="H292" i="1"/>
  <c r="I292" i="1" s="1"/>
  <c r="J292" i="1" s="1"/>
  <c r="K292" i="1" s="1"/>
  <c r="J340" i="1"/>
  <c r="K340" i="1" s="1"/>
  <c r="J351" i="1"/>
  <c r="K351" i="1" s="1"/>
  <c r="H290" i="1"/>
  <c r="I290" i="1" s="1"/>
  <c r="J290" i="1" s="1"/>
  <c r="K290" i="1" s="1"/>
  <c r="J126" i="1"/>
  <c r="K126" i="1" s="1"/>
  <c r="J107" i="1"/>
  <c r="K107" i="1" s="1"/>
  <c r="J111" i="1"/>
  <c r="K111" i="1" s="1"/>
  <c r="J99" i="1"/>
  <c r="K99" i="1" s="1"/>
  <c r="H756" i="1"/>
  <c r="I756" i="1" s="1"/>
  <c r="J756" i="1" s="1"/>
  <c r="K756" i="1" s="1"/>
  <c r="H769" i="1"/>
  <c r="I769" i="1" s="1"/>
  <c r="J769" i="1" s="1"/>
  <c r="K769" i="1" s="1"/>
  <c r="H757" i="1"/>
  <c r="I757" i="1" s="1"/>
  <c r="J757" i="1" s="1"/>
  <c r="K757" i="1" s="1"/>
  <c r="J784" i="1"/>
  <c r="K784" i="1" s="1"/>
  <c r="H936" i="1"/>
  <c r="I936" i="1" s="1"/>
  <c r="J936" i="1" s="1"/>
  <c r="K936" i="1" s="1"/>
  <c r="J964" i="1"/>
  <c r="K964" i="1" s="1"/>
  <c r="J984" i="1"/>
  <c r="K984" i="1" s="1"/>
  <c r="H958" i="1"/>
  <c r="I958" i="1" s="1"/>
  <c r="J958" i="1" s="1"/>
  <c r="K958" i="1" s="1"/>
  <c r="H181" i="1"/>
  <c r="I181" i="1" s="1"/>
  <c r="J181" i="1" s="1"/>
  <c r="K181" i="1" s="1"/>
  <c r="H391" i="1"/>
  <c r="I391" i="1" s="1"/>
  <c r="J391" i="1" s="1"/>
  <c r="K391" i="1" s="1"/>
  <c r="J190" i="1"/>
  <c r="K190" i="1" s="1"/>
  <c r="J526" i="1"/>
  <c r="K526" i="1" s="1"/>
  <c r="J408" i="1"/>
  <c r="K408" i="1" s="1"/>
  <c r="J400" i="1"/>
  <c r="K400" i="1" s="1"/>
  <c r="J388" i="1"/>
  <c r="K388" i="1" s="1"/>
  <c r="J68" i="1"/>
  <c r="K68" i="1" s="1"/>
  <c r="J498" i="1"/>
  <c r="K498" i="1" s="1"/>
  <c r="J497" i="1"/>
  <c r="K497" i="1" s="1"/>
  <c r="J499" i="1"/>
  <c r="K499" i="1" s="1"/>
  <c r="H534" i="1"/>
  <c r="I534" i="1" s="1"/>
  <c r="J534" i="1" s="1"/>
  <c r="K534" i="1" s="1"/>
  <c r="H578" i="1"/>
  <c r="I578" i="1" s="1"/>
  <c r="J578" i="1" s="1"/>
  <c r="K578" i="1" s="1"/>
  <c r="H641" i="1"/>
  <c r="I641" i="1" s="1"/>
  <c r="J641" i="1" s="1"/>
  <c r="K641" i="1" s="1"/>
  <c r="H619" i="1"/>
  <c r="I619" i="1" s="1"/>
  <c r="J619" i="1" s="1"/>
  <c r="K619" i="1" s="1"/>
  <c r="H845" i="1"/>
  <c r="I845" i="1" s="1"/>
  <c r="J845" i="1" s="1"/>
  <c r="K845" i="1" s="1"/>
  <c r="J1016" i="1"/>
  <c r="K1016" i="1" s="1"/>
  <c r="H289" i="1"/>
  <c r="I289" i="1" s="1"/>
  <c r="J289" i="1" s="1"/>
  <c r="K289" i="1" s="1"/>
  <c r="H281" i="1"/>
  <c r="I281" i="1" s="1"/>
  <c r="J281" i="1" s="1"/>
  <c r="K281" i="1" s="1"/>
  <c r="H280" i="1"/>
  <c r="I280" i="1" s="1"/>
  <c r="J280" i="1" s="1"/>
  <c r="K280" i="1" s="1"/>
  <c r="H265" i="1"/>
  <c r="I265" i="1" s="1"/>
  <c r="J265" i="1" s="1"/>
  <c r="K265" i="1" s="1"/>
  <c r="J854" i="1"/>
  <c r="K854" i="1" s="1"/>
  <c r="H812" i="1"/>
  <c r="I812" i="1" s="1"/>
  <c r="J812" i="1" s="1"/>
  <c r="K812" i="1" s="1"/>
  <c r="H809" i="1"/>
  <c r="I809" i="1" s="1"/>
  <c r="J376" i="1"/>
  <c r="K376" i="1" s="1"/>
  <c r="J379" i="1"/>
  <c r="K379" i="1" s="1"/>
  <c r="J367" i="1"/>
  <c r="K367" i="1" s="1"/>
  <c r="H223" i="1"/>
  <c r="I223" i="1" s="1"/>
  <c r="J223" i="1" s="1"/>
  <c r="K223" i="1" s="1"/>
  <c r="J251" i="1"/>
  <c r="K251" i="1" s="1"/>
  <c r="H211" i="1"/>
  <c r="I211" i="1" s="1"/>
  <c r="J211" i="1" s="1"/>
  <c r="K211" i="1" s="1"/>
  <c r="H194" i="1"/>
  <c r="I194" i="1" s="1"/>
  <c r="J194" i="1" s="1"/>
  <c r="K194" i="1" s="1"/>
  <c r="H925" i="1"/>
  <c r="I925" i="1" s="1"/>
  <c r="J925" i="1" s="1"/>
  <c r="K925" i="1" s="1"/>
  <c r="H419" i="1"/>
  <c r="I419" i="1" s="1"/>
  <c r="J419" i="1" s="1"/>
  <c r="K419" i="1" s="1"/>
  <c r="J475" i="1"/>
  <c r="K475" i="1" s="1"/>
  <c r="H661" i="1"/>
  <c r="I661" i="1" s="1"/>
  <c r="J661" i="1" s="1"/>
  <c r="K661" i="1" s="1"/>
  <c r="H313" i="1"/>
  <c r="I313" i="1" s="1"/>
  <c r="J313" i="1" s="1"/>
  <c r="K313" i="1" s="1"/>
  <c r="H315" i="1"/>
  <c r="I315" i="1" s="1"/>
  <c r="J110" i="1"/>
  <c r="K110" i="1" s="1"/>
  <c r="H93" i="1"/>
  <c r="I93" i="1" s="1"/>
  <c r="J93" i="1" s="1"/>
  <c r="K93" i="1" s="1"/>
  <c r="H97" i="1"/>
  <c r="I97" i="1" s="1"/>
  <c r="J97" i="1" s="1"/>
  <c r="K97" i="1" s="1"/>
  <c r="H85" i="1"/>
  <c r="I85" i="1" s="1"/>
  <c r="J85" i="1" s="1"/>
  <c r="K85" i="1" s="1"/>
  <c r="H749" i="1"/>
  <c r="I749" i="1" s="1"/>
  <c r="J749" i="1" s="1"/>
  <c r="K749" i="1" s="1"/>
  <c r="H753" i="1"/>
  <c r="I753" i="1" s="1"/>
  <c r="J753" i="1" s="1"/>
  <c r="K753" i="1" s="1"/>
  <c r="J796" i="1"/>
  <c r="K796" i="1" s="1"/>
  <c r="H754" i="1"/>
  <c r="I754" i="1" s="1"/>
  <c r="J754" i="1" s="1"/>
  <c r="K754" i="1" s="1"/>
  <c r="J992" i="1"/>
  <c r="K992" i="1" s="1"/>
  <c r="H950" i="1"/>
  <c r="I950" i="1" s="1"/>
  <c r="J950" i="1" s="1"/>
  <c r="K950" i="1" s="1"/>
  <c r="J968" i="1"/>
  <c r="K968" i="1" s="1"/>
  <c r="H939" i="1"/>
  <c r="I939" i="1" s="1"/>
  <c r="J939" i="1" s="1"/>
  <c r="K939" i="1" s="1"/>
  <c r="J275" i="1"/>
  <c r="K275" i="1" s="1"/>
  <c r="H167" i="1"/>
  <c r="I167" i="1" s="1"/>
  <c r="J167" i="1" s="1"/>
  <c r="K167" i="1" s="1"/>
  <c r="H165" i="1"/>
  <c r="I165" i="1" s="1"/>
  <c r="J189" i="1"/>
  <c r="K189" i="1" s="1"/>
  <c r="J483" i="1"/>
  <c r="K483" i="1" s="1"/>
  <c r="J485" i="1"/>
  <c r="K485" i="1" s="1"/>
  <c r="H548" i="1"/>
  <c r="I548" i="1" s="1"/>
  <c r="J548" i="1" s="1"/>
  <c r="K548" i="1" s="1"/>
  <c r="H541" i="1"/>
  <c r="I541" i="1" s="1"/>
  <c r="J541" i="1" s="1"/>
  <c r="K541" i="1" s="1"/>
  <c r="H517" i="1"/>
  <c r="I517" i="1" s="1"/>
  <c r="J517" i="1" s="1"/>
  <c r="K517" i="1" s="1"/>
  <c r="J560" i="1"/>
  <c r="K560" i="1" s="1"/>
  <c r="H518" i="1"/>
  <c r="I518" i="1" s="1"/>
  <c r="J518" i="1" s="1"/>
  <c r="K518" i="1" s="1"/>
  <c r="H597" i="1"/>
  <c r="I597" i="1" s="1"/>
  <c r="J597" i="1" s="1"/>
  <c r="K597" i="1" s="1"/>
  <c r="H598" i="1"/>
  <c r="I598" i="1" s="1"/>
  <c r="H587" i="1"/>
  <c r="I587" i="1" s="1"/>
  <c r="J587" i="1" s="1"/>
  <c r="K587" i="1" s="1"/>
  <c r="H622" i="1"/>
  <c r="I622" i="1" s="1"/>
  <c r="J622" i="1" s="1"/>
  <c r="K622" i="1" s="1"/>
  <c r="H614" i="1"/>
  <c r="I614" i="1" s="1"/>
  <c r="J614" i="1" s="1"/>
  <c r="K614" i="1" s="1"/>
  <c r="H863" i="1"/>
  <c r="I863" i="1" s="1"/>
  <c r="J863" i="1" s="1"/>
  <c r="K863" i="1" s="1"/>
  <c r="J896" i="1"/>
  <c r="K896" i="1" s="1"/>
  <c r="H272" i="1"/>
  <c r="I272" i="1" s="1"/>
  <c r="J272" i="1" s="1"/>
  <c r="K272" i="1" s="1"/>
  <c r="H259" i="1"/>
  <c r="I259" i="1" s="1"/>
  <c r="H823" i="1"/>
  <c r="I823" i="1" s="1"/>
  <c r="J838" i="1"/>
  <c r="K838" i="1" s="1"/>
  <c r="J864" i="1"/>
  <c r="K864" i="1" s="1"/>
  <c r="J149" i="1"/>
  <c r="K149" i="1" s="1"/>
  <c r="J142" i="1"/>
  <c r="K142" i="1" s="1"/>
  <c r="J44" i="1"/>
  <c r="K44" i="1" s="1"/>
  <c r="J364" i="1"/>
  <c r="K364" i="1" s="1"/>
  <c r="J363" i="1"/>
  <c r="K363" i="1" s="1"/>
  <c r="H733" i="1"/>
  <c r="I733" i="1" s="1"/>
  <c r="J733" i="1" s="1"/>
  <c r="K733" i="1" s="1"/>
  <c r="H735" i="1"/>
  <c r="I735" i="1" s="1"/>
  <c r="J735" i="1" s="1"/>
  <c r="K735" i="1" s="1"/>
  <c r="H737" i="1"/>
  <c r="I737" i="1" s="1"/>
  <c r="J737" i="1" s="1"/>
  <c r="K737" i="1" s="1"/>
  <c r="H732" i="1"/>
  <c r="I732" i="1" s="1"/>
  <c r="J732" i="1" s="1"/>
  <c r="K732" i="1" s="1"/>
  <c r="H198" i="1"/>
  <c r="I198" i="1" s="1"/>
  <c r="J198" i="1" s="1"/>
  <c r="K198" i="1" s="1"/>
  <c r="J235" i="1"/>
  <c r="K235" i="1" s="1"/>
  <c r="J250" i="1"/>
  <c r="K250" i="1" s="1"/>
  <c r="J254" i="1"/>
  <c r="K254" i="1" s="1"/>
  <c r="H911" i="1"/>
  <c r="I911" i="1" s="1"/>
  <c r="H927" i="1"/>
  <c r="I927" i="1" s="1"/>
  <c r="J927" i="1" s="1"/>
  <c r="K927" i="1" s="1"/>
  <c r="J481" i="1"/>
  <c r="K481" i="1" s="1"/>
  <c r="J462" i="1"/>
  <c r="K462" i="1" s="1"/>
  <c r="J459" i="1"/>
  <c r="K459" i="1" s="1"/>
  <c r="J689" i="1"/>
  <c r="K689" i="1" s="1"/>
  <c r="H664" i="1"/>
  <c r="I664" i="1" s="1"/>
  <c r="J664" i="1" s="1"/>
  <c r="K664" i="1" s="1"/>
  <c r="H645" i="1"/>
  <c r="I645" i="1" s="1"/>
  <c r="J645" i="1" s="1"/>
  <c r="K645" i="1" s="1"/>
  <c r="H293" i="1"/>
  <c r="I293" i="1" s="1"/>
  <c r="J293" i="1" s="1"/>
  <c r="K293" i="1" s="1"/>
  <c r="H320" i="1"/>
  <c r="I320" i="1" s="1"/>
  <c r="J320" i="1" s="1"/>
  <c r="K320" i="1" s="1"/>
  <c r="H310" i="1"/>
  <c r="I310" i="1" s="1"/>
  <c r="H303" i="1"/>
  <c r="I303" i="1" s="1"/>
  <c r="J303" i="1" s="1"/>
  <c r="K303" i="1" s="1"/>
  <c r="H1019" i="1"/>
  <c r="I1019" i="1" s="1"/>
  <c r="J1019" i="1" s="1"/>
  <c r="K1019" i="1" s="1"/>
  <c r="H96" i="1"/>
  <c r="I96" i="1" s="1"/>
  <c r="J96" i="1" s="1"/>
  <c r="K96" i="1" s="1"/>
  <c r="H77" i="1"/>
  <c r="I77" i="1" s="1"/>
  <c r="J77" i="1" s="1"/>
  <c r="K77" i="1" s="1"/>
  <c r="H81" i="1"/>
  <c r="I81" i="1" s="1"/>
  <c r="J81" i="1" s="1"/>
  <c r="K81" i="1" s="1"/>
  <c r="H69" i="1"/>
  <c r="I69" i="1" s="1"/>
  <c r="J69" i="1" s="1"/>
  <c r="K69" i="1" s="1"/>
  <c r="H744" i="1"/>
  <c r="I744" i="1" s="1"/>
  <c r="J744" i="1" s="1"/>
  <c r="K744" i="1" s="1"/>
  <c r="J780" i="1"/>
  <c r="K780" i="1" s="1"/>
  <c r="H738" i="1"/>
  <c r="I738" i="1" s="1"/>
  <c r="J738" i="1" s="1"/>
  <c r="K738" i="1" s="1"/>
  <c r="J976" i="1"/>
  <c r="K976" i="1" s="1"/>
  <c r="H943" i="1"/>
  <c r="I943" i="1" s="1"/>
  <c r="J943" i="1" s="1"/>
  <c r="K943" i="1" s="1"/>
  <c r="H954" i="1"/>
  <c r="I954" i="1" s="1"/>
  <c r="J954" i="1" s="1"/>
  <c r="K954" i="1" s="1"/>
  <c r="J981" i="1"/>
  <c r="K981" i="1" s="1"/>
  <c r="J581" i="1"/>
  <c r="K581" i="1" s="1"/>
  <c r="H551" i="1"/>
  <c r="I551" i="1" s="1"/>
  <c r="J551" i="1" s="1"/>
  <c r="K551" i="1" s="1"/>
  <c r="H523" i="1"/>
  <c r="I523" i="1" s="1"/>
  <c r="J523" i="1" s="1"/>
  <c r="K523" i="1" s="1"/>
  <c r="H528" i="1"/>
  <c r="I528" i="1" s="1"/>
  <c r="J528" i="1" s="1"/>
  <c r="K528" i="1" s="1"/>
  <c r="H524" i="1"/>
  <c r="I524" i="1" s="1"/>
  <c r="J524" i="1" s="1"/>
  <c r="K524" i="1" s="1"/>
  <c r="J559" i="1"/>
  <c r="K559" i="1" s="1"/>
  <c r="H609" i="1"/>
  <c r="I609" i="1" s="1"/>
  <c r="J609" i="1" s="1"/>
  <c r="K609" i="1" s="1"/>
  <c r="H579" i="1"/>
  <c r="I579" i="1" s="1"/>
  <c r="J579" i="1" s="1"/>
  <c r="K579" i="1" s="1"/>
  <c r="H612" i="1"/>
  <c r="I612" i="1" s="1"/>
  <c r="J612" i="1" s="1"/>
  <c r="K612" i="1" s="1"/>
  <c r="H628" i="1"/>
  <c r="I628" i="1" s="1"/>
  <c r="J628" i="1" s="1"/>
  <c r="K628" i="1" s="1"/>
  <c r="J893" i="1"/>
  <c r="K893" i="1" s="1"/>
  <c r="J885" i="1"/>
  <c r="K885" i="1" s="1"/>
  <c r="J883" i="1"/>
  <c r="K883" i="1" s="1"/>
  <c r="J880" i="1"/>
  <c r="K880" i="1" s="1"/>
  <c r="J1015" i="1"/>
  <c r="K1015" i="1" s="1"/>
  <c r="H260" i="1"/>
  <c r="I260" i="1" s="1"/>
  <c r="J260" i="1" s="1"/>
  <c r="K260" i="1" s="1"/>
  <c r="H271" i="1"/>
  <c r="I271" i="1" s="1"/>
  <c r="J271" i="1" s="1"/>
  <c r="K271" i="1" s="1"/>
  <c r="H282" i="1"/>
  <c r="I282" i="1" s="1"/>
  <c r="H811" i="1"/>
  <c r="I811" i="1" s="1"/>
  <c r="J811" i="1" s="1"/>
  <c r="K811" i="1" s="1"/>
  <c r="H824" i="1"/>
  <c r="I824" i="1" s="1"/>
  <c r="J824" i="1" s="1"/>
  <c r="K824" i="1" s="1"/>
  <c r="J835" i="1"/>
  <c r="K835" i="1" s="1"/>
  <c r="J848" i="1"/>
  <c r="K848" i="1" s="1"/>
  <c r="J146" i="1"/>
  <c r="K146" i="1" s="1"/>
  <c r="J157" i="1"/>
  <c r="K157" i="1" s="1"/>
  <c r="J50" i="1"/>
  <c r="K50" i="1" s="1"/>
  <c r="J54" i="1"/>
  <c r="K54" i="1" s="1"/>
  <c r="J58" i="1"/>
  <c r="K58" i="1" s="1"/>
  <c r="J375" i="1"/>
  <c r="K375" i="1" s="1"/>
  <c r="H708" i="1"/>
  <c r="I708" i="1" s="1"/>
  <c r="J708" i="1" s="1"/>
  <c r="K708" i="1" s="1"/>
  <c r="H728" i="1"/>
  <c r="I728" i="1" s="1"/>
  <c r="J728" i="1" s="1"/>
  <c r="K728" i="1" s="1"/>
  <c r="H716" i="1"/>
  <c r="I716" i="1" s="1"/>
  <c r="J716" i="1" s="1"/>
  <c r="K716" i="1" s="1"/>
  <c r="J233" i="1"/>
  <c r="K233" i="1" s="1"/>
  <c r="H221" i="1"/>
  <c r="I221" i="1" s="1"/>
  <c r="J221" i="1" s="1"/>
  <c r="K221" i="1" s="1"/>
  <c r="J234" i="1"/>
  <c r="K234" i="1" s="1"/>
  <c r="J238" i="1"/>
  <c r="K238" i="1" s="1"/>
  <c r="H913" i="1"/>
  <c r="I913" i="1" s="1"/>
  <c r="J913" i="1" s="1"/>
  <c r="K913" i="1" s="1"/>
  <c r="J932" i="1"/>
  <c r="K932" i="1" s="1"/>
  <c r="H900" i="1"/>
  <c r="I900" i="1" s="1"/>
  <c r="J900" i="1" s="1"/>
  <c r="K900" i="1" s="1"/>
  <c r="J477" i="1"/>
  <c r="K477" i="1" s="1"/>
  <c r="H423" i="1"/>
  <c r="I423" i="1" s="1"/>
  <c r="J423" i="1" s="1"/>
  <c r="K423" i="1" s="1"/>
  <c r="H445" i="1"/>
  <c r="I445" i="1" s="1"/>
  <c r="J445" i="1" s="1"/>
  <c r="K445" i="1" s="1"/>
  <c r="H673" i="1"/>
  <c r="I673" i="1" s="1"/>
  <c r="J673" i="1" s="1"/>
  <c r="K673" i="1" s="1"/>
  <c r="H648" i="1"/>
  <c r="I648" i="1" s="1"/>
  <c r="J648" i="1" s="1"/>
  <c r="K648" i="1" s="1"/>
  <c r="H317" i="1"/>
  <c r="I317" i="1" s="1"/>
  <c r="J317" i="1" s="1"/>
  <c r="K317" i="1" s="1"/>
  <c r="H291" i="1"/>
  <c r="I291" i="1" s="1"/>
  <c r="J291" i="1" s="1"/>
  <c r="K291" i="1" s="1"/>
  <c r="H298" i="1"/>
  <c r="I298" i="1" s="1"/>
  <c r="J298" i="1" s="1"/>
  <c r="K298" i="1" s="1"/>
  <c r="H80" i="1"/>
  <c r="I80" i="1" s="1"/>
  <c r="J80" i="1" s="1"/>
  <c r="K80" i="1" s="1"/>
  <c r="H758" i="1"/>
  <c r="I758" i="1" s="1"/>
  <c r="J758" i="1" s="1"/>
  <c r="K758" i="1" s="1"/>
  <c r="H766" i="1"/>
  <c r="I766" i="1" s="1"/>
  <c r="J766" i="1" s="1"/>
  <c r="K766" i="1" s="1"/>
  <c r="H946" i="1"/>
  <c r="I946" i="1" s="1"/>
  <c r="J946" i="1" s="1"/>
  <c r="K946" i="1" s="1"/>
  <c r="J989" i="1"/>
  <c r="K989" i="1" s="1"/>
  <c r="J993" i="1"/>
  <c r="K993" i="1" s="1"/>
  <c r="J965" i="1"/>
  <c r="K965" i="1" s="1"/>
  <c r="J542" i="1"/>
  <c r="K542" i="1" s="1"/>
  <c r="J413" i="1"/>
  <c r="K413" i="1" s="1"/>
  <c r="J563" i="1"/>
  <c r="K563" i="1" s="1"/>
  <c r="H514" i="1"/>
  <c r="I514" i="1" s="1"/>
  <c r="J514" i="1" s="1"/>
  <c r="K514" i="1" s="1"/>
  <c r="J569" i="1"/>
  <c r="K569" i="1" s="1"/>
  <c r="H545" i="1"/>
  <c r="I545" i="1" s="1"/>
  <c r="J545" i="1" s="1"/>
  <c r="K545" i="1" s="1"/>
  <c r="H596" i="1"/>
  <c r="I596" i="1" s="1"/>
  <c r="J596" i="1" s="1"/>
  <c r="K596" i="1" s="1"/>
  <c r="H607" i="1"/>
  <c r="I607" i="1" s="1"/>
  <c r="J607" i="1" s="1"/>
  <c r="K607" i="1" s="1"/>
  <c r="H610" i="1"/>
  <c r="I610" i="1" s="1"/>
  <c r="J610" i="1" s="1"/>
  <c r="K610" i="1" s="1"/>
  <c r="J890" i="1"/>
  <c r="K890" i="1" s="1"/>
  <c r="J873" i="1"/>
  <c r="K873" i="1" s="1"/>
  <c r="J867" i="1"/>
  <c r="K867" i="1" s="1"/>
  <c r="J999" i="1"/>
  <c r="K999" i="1" s="1"/>
  <c r="J996" i="1"/>
  <c r="K996" i="1" s="1"/>
  <c r="H266" i="1"/>
  <c r="I266" i="1" s="1"/>
  <c r="H274" i="1"/>
  <c r="I274" i="1" s="1"/>
  <c r="J274" i="1" s="1"/>
  <c r="K274" i="1" s="1"/>
  <c r="J852" i="1"/>
  <c r="K852" i="1" s="1"/>
  <c r="H808" i="1"/>
  <c r="I808" i="1" s="1"/>
  <c r="J808" i="1" s="1"/>
  <c r="K808" i="1" s="1"/>
  <c r="H821" i="1"/>
  <c r="I821" i="1" s="1"/>
  <c r="J821" i="1" s="1"/>
  <c r="K821" i="1" s="1"/>
  <c r="H818" i="1"/>
  <c r="I818" i="1" s="1"/>
  <c r="J818" i="1" s="1"/>
  <c r="K818" i="1" s="1"/>
  <c r="J133" i="1"/>
  <c r="K133" i="1" s="1"/>
  <c r="J141" i="1"/>
  <c r="K141" i="1" s="1"/>
  <c r="J53" i="1"/>
  <c r="K53" i="1" s="1"/>
  <c r="J34" i="1"/>
  <c r="K34" i="1" s="1"/>
  <c r="J38" i="1"/>
  <c r="K38" i="1" s="1"/>
  <c r="J42" i="1"/>
  <c r="K42" i="1" s="1"/>
  <c r="J385" i="1"/>
  <c r="K385" i="1" s="1"/>
  <c r="J359" i="1"/>
  <c r="K359" i="1" s="1"/>
  <c r="H331" i="1"/>
  <c r="I331" i="1" s="1"/>
  <c r="J331" i="1" s="1"/>
  <c r="K331" i="1" s="1"/>
  <c r="J255" i="1"/>
  <c r="K255" i="1" s="1"/>
  <c r="H205" i="1"/>
  <c r="I205" i="1" s="1"/>
  <c r="J205" i="1" s="1"/>
  <c r="K205" i="1" s="1"/>
  <c r="H220" i="1"/>
  <c r="I220" i="1" s="1"/>
  <c r="J220" i="1" s="1"/>
  <c r="K220" i="1" s="1"/>
  <c r="H224" i="1"/>
  <c r="I224" i="1" s="1"/>
  <c r="J224" i="1" s="1"/>
  <c r="K224" i="1" s="1"/>
  <c r="H899" i="1"/>
  <c r="I899" i="1" s="1"/>
  <c r="J899" i="1" s="1"/>
  <c r="K899" i="1" s="1"/>
  <c r="H929" i="1"/>
  <c r="I929" i="1" s="1"/>
  <c r="J929" i="1" s="1"/>
  <c r="K929" i="1" s="1"/>
  <c r="J450" i="1"/>
  <c r="K450" i="1" s="1"/>
  <c r="J466" i="1"/>
  <c r="K466" i="1" s="1"/>
  <c r="H429" i="1"/>
  <c r="I429" i="1" s="1"/>
  <c r="J429" i="1" s="1"/>
  <c r="K429" i="1" s="1"/>
  <c r="J699" i="1"/>
  <c r="K699" i="1" s="1"/>
  <c r="J676" i="1"/>
  <c r="K676" i="1" s="1"/>
  <c r="H657" i="1"/>
  <c r="I657" i="1" s="1"/>
  <c r="J657" i="1" s="1"/>
  <c r="K657" i="1" s="1"/>
  <c r="H312" i="1"/>
  <c r="I312" i="1" s="1"/>
  <c r="J312" i="1" s="1"/>
  <c r="K312" i="1" s="1"/>
  <c r="H305" i="1"/>
  <c r="I305" i="1" s="1"/>
  <c r="J305" i="1" s="1"/>
  <c r="K305" i="1" s="1"/>
  <c r="J330" i="1"/>
  <c r="K330" i="1" s="1"/>
  <c r="H78" i="1"/>
  <c r="I78" i="1" s="1"/>
  <c r="J78" i="1" s="1"/>
  <c r="K78" i="1" s="1"/>
  <c r="J100" i="1"/>
  <c r="K100" i="1" s="1"/>
  <c r="J793" i="1"/>
  <c r="K793" i="1" s="1"/>
  <c r="J779" i="1"/>
  <c r="K779" i="1" s="1"/>
  <c r="H762" i="1"/>
  <c r="I762" i="1" s="1"/>
  <c r="J762" i="1" s="1"/>
  <c r="K762" i="1" s="1"/>
  <c r="H750" i="1"/>
  <c r="I750" i="1" s="1"/>
  <c r="J750" i="1" s="1"/>
  <c r="K750" i="1" s="1"/>
  <c r="H941" i="1"/>
  <c r="I941" i="1" s="1"/>
  <c r="J941" i="1" s="1"/>
  <c r="K941" i="1" s="1"/>
  <c r="J973" i="1"/>
  <c r="K973" i="1" s="1"/>
  <c r="J977" i="1"/>
  <c r="K977" i="1" s="1"/>
  <c r="H951" i="1"/>
  <c r="I951" i="1" s="1"/>
  <c r="J951" i="1" s="1"/>
  <c r="K951" i="1" s="1"/>
  <c r="J277" i="1"/>
  <c r="K277" i="1" s="1"/>
  <c r="H183" i="1"/>
  <c r="I183" i="1" s="1"/>
  <c r="H176" i="1"/>
  <c r="I176" i="1" s="1"/>
  <c r="H163" i="1"/>
  <c r="I163" i="1" s="1"/>
  <c r="J163" i="1" s="1"/>
  <c r="K163" i="1" s="1"/>
  <c r="J736" i="1"/>
  <c r="K736" i="1" s="1"/>
  <c r="J397" i="1"/>
  <c r="K397" i="1" s="1"/>
  <c r="J87" i="1"/>
  <c r="K87" i="1" s="1"/>
  <c r="J509" i="1"/>
  <c r="K509" i="1" s="1"/>
  <c r="J507" i="1"/>
  <c r="K507" i="1" s="1"/>
  <c r="J827" i="1"/>
  <c r="K827" i="1" s="1"/>
  <c r="H549" i="1"/>
  <c r="I549" i="1" s="1"/>
  <c r="J549" i="1" s="1"/>
  <c r="K549" i="1" s="1"/>
  <c r="H536" i="1"/>
  <c r="I536" i="1" s="1"/>
  <c r="J536" i="1" s="1"/>
  <c r="K536" i="1" s="1"/>
  <c r="H529" i="1"/>
  <c r="I529" i="1" s="1"/>
  <c r="J529" i="1" s="1"/>
  <c r="K529" i="1" s="1"/>
  <c r="H591" i="1"/>
  <c r="I591" i="1" s="1"/>
  <c r="J591" i="1" s="1"/>
  <c r="K591" i="1" s="1"/>
  <c r="H637" i="1"/>
  <c r="I637" i="1" s="1"/>
  <c r="J637" i="1" s="1"/>
  <c r="K637" i="1" s="1"/>
  <c r="H638" i="1"/>
  <c r="I638" i="1" s="1"/>
  <c r="J638" i="1" s="1"/>
  <c r="K638" i="1" s="1"/>
  <c r="H623" i="1"/>
  <c r="I623" i="1" s="1"/>
  <c r="J623" i="1" s="1"/>
  <c r="K623" i="1" s="1"/>
  <c r="J869" i="1"/>
  <c r="K869" i="1" s="1"/>
  <c r="J1025" i="1"/>
  <c r="K1025" i="1" s="1"/>
  <c r="H258" i="1"/>
  <c r="I258" i="1" s="1"/>
  <c r="J258" i="1" s="1"/>
  <c r="K258" i="1" s="1"/>
  <c r="J861" i="1"/>
  <c r="K861" i="1" s="1"/>
  <c r="H805" i="1"/>
  <c r="I805" i="1" s="1"/>
  <c r="J805" i="1" s="1"/>
  <c r="K805" i="1" s="1"/>
  <c r="H802" i="1"/>
  <c r="I802" i="1" s="1"/>
  <c r="J802" i="1" s="1"/>
  <c r="K802" i="1" s="1"/>
  <c r="J145" i="1"/>
  <c r="K145" i="1" s="1"/>
  <c r="J138" i="1"/>
  <c r="K138" i="1" s="1"/>
  <c r="J37" i="1"/>
  <c r="K37" i="1" s="1"/>
  <c r="J369" i="1"/>
  <c r="K369" i="1" s="1"/>
  <c r="H345" i="1"/>
  <c r="I345" i="1" s="1"/>
  <c r="J345" i="1" s="1"/>
  <c r="K345" i="1" s="1"/>
  <c r="H725" i="1"/>
  <c r="I725" i="1" s="1"/>
  <c r="J725" i="1" s="1"/>
  <c r="K725" i="1" s="1"/>
  <c r="H219" i="1"/>
  <c r="I219" i="1" s="1"/>
  <c r="J219" i="1" s="1"/>
  <c r="K219" i="1" s="1"/>
  <c r="J246" i="1"/>
  <c r="K246" i="1" s="1"/>
  <c r="H204" i="1"/>
  <c r="I204" i="1" s="1"/>
  <c r="J204" i="1" s="1"/>
  <c r="K204" i="1" s="1"/>
  <c r="H208" i="1"/>
  <c r="I208" i="1" s="1"/>
  <c r="J208" i="1" s="1"/>
  <c r="K208" i="1" s="1"/>
  <c r="J957" i="1"/>
  <c r="K957" i="1" s="1"/>
  <c r="H915" i="1"/>
  <c r="I915" i="1" s="1"/>
  <c r="J915" i="1" s="1"/>
  <c r="K915" i="1" s="1"/>
  <c r="H917" i="1"/>
  <c r="I917" i="1" s="1"/>
  <c r="J917" i="1" s="1"/>
  <c r="K917" i="1" s="1"/>
  <c r="J474" i="1"/>
  <c r="K474" i="1" s="1"/>
  <c r="H439" i="1"/>
  <c r="I439" i="1" s="1"/>
  <c r="J439" i="1" s="1"/>
  <c r="K439" i="1" s="1"/>
  <c r="J468" i="1"/>
  <c r="K468" i="1" s="1"/>
  <c r="H667" i="1"/>
  <c r="I667" i="1" s="1"/>
  <c r="J667" i="1" s="1"/>
  <c r="K667" i="1" s="1"/>
  <c r="J690" i="1"/>
  <c r="K690" i="1" s="1"/>
  <c r="J696" i="1"/>
  <c r="K696" i="1" s="1"/>
  <c r="H670" i="1"/>
  <c r="I670" i="1" s="1"/>
  <c r="H309" i="1"/>
  <c r="I309" i="1" s="1"/>
  <c r="J309" i="1" s="1"/>
  <c r="K309" i="1" s="1"/>
  <c r="J350" i="1"/>
  <c r="K350" i="1" s="1"/>
  <c r="H319" i="1"/>
  <c r="I319" i="1" s="1"/>
  <c r="H316" i="1"/>
  <c r="I316" i="1" s="1"/>
  <c r="J316" i="1" s="1"/>
  <c r="K316" i="1" s="1"/>
  <c r="H94" i="1"/>
  <c r="I94" i="1" s="1"/>
  <c r="J94" i="1" s="1"/>
  <c r="K94" i="1" s="1"/>
  <c r="H82" i="1"/>
  <c r="I82" i="1" s="1"/>
  <c r="J82" i="1" s="1"/>
  <c r="K82" i="1" s="1"/>
  <c r="H86" i="1"/>
  <c r="I86" i="1" s="1"/>
  <c r="J86" i="1" s="1"/>
  <c r="K86" i="1" s="1"/>
  <c r="H90" i="1"/>
  <c r="I90" i="1" s="1"/>
  <c r="J90" i="1" s="1"/>
  <c r="K90" i="1" s="1"/>
  <c r="H741" i="1"/>
  <c r="I741" i="1" s="1"/>
  <c r="H765" i="1"/>
  <c r="I765" i="1" s="1"/>
  <c r="J765" i="1" s="1"/>
  <c r="K765" i="1" s="1"/>
  <c r="H743" i="1"/>
  <c r="I743" i="1" s="1"/>
  <c r="J743" i="1" s="1"/>
  <c r="K743" i="1" s="1"/>
  <c r="H745" i="1"/>
  <c r="I745" i="1" s="1"/>
  <c r="J745" i="1" s="1"/>
  <c r="K745" i="1" s="1"/>
  <c r="J969" i="1"/>
  <c r="K969" i="1" s="1"/>
  <c r="H959" i="1"/>
  <c r="I959" i="1" s="1"/>
  <c r="J959" i="1" s="1"/>
  <c r="K959" i="1" s="1"/>
  <c r="H947" i="1"/>
  <c r="I947" i="1" s="1"/>
  <c r="J947" i="1" s="1"/>
  <c r="K947" i="1" s="1"/>
  <c r="H942" i="1"/>
  <c r="I942" i="1" s="1"/>
  <c r="J942" i="1" s="1"/>
  <c r="K942" i="1" s="1"/>
  <c r="J165" i="1"/>
  <c r="K165" i="1" s="1"/>
  <c r="J567" i="1"/>
  <c r="K567" i="1" s="1"/>
  <c r="H532" i="1"/>
  <c r="I532" i="1" s="1"/>
  <c r="J532" i="1" s="1"/>
  <c r="K532" i="1" s="1"/>
  <c r="H522" i="1"/>
  <c r="I522" i="1" s="1"/>
  <c r="J522" i="1" s="1"/>
  <c r="K522" i="1" s="1"/>
  <c r="H540" i="1"/>
  <c r="I540" i="1" s="1"/>
  <c r="J540" i="1" s="1"/>
  <c r="K540" i="1" s="1"/>
  <c r="H586" i="1"/>
  <c r="I586" i="1" s="1"/>
  <c r="J586" i="1" s="1"/>
  <c r="K586" i="1" s="1"/>
  <c r="H603" i="1"/>
  <c r="I603" i="1" s="1"/>
  <c r="J603" i="1" s="1"/>
  <c r="K603" i="1" s="1"/>
  <c r="H822" i="1"/>
  <c r="I822" i="1" s="1"/>
  <c r="J822" i="1" s="1"/>
  <c r="K822" i="1" s="1"/>
  <c r="H833" i="1"/>
  <c r="I833" i="1" s="1"/>
  <c r="J833" i="1" s="1"/>
  <c r="K833" i="1" s="1"/>
  <c r="J860" i="1"/>
  <c r="K860" i="1" s="1"/>
  <c r="J140" i="1"/>
  <c r="K140" i="1" s="1"/>
  <c r="J378" i="1"/>
  <c r="K378" i="1" s="1"/>
  <c r="J356" i="1"/>
  <c r="K356" i="1" s="1"/>
  <c r="H709" i="1"/>
  <c r="I709" i="1" s="1"/>
  <c r="J709" i="1" s="1"/>
  <c r="K709" i="1" s="1"/>
  <c r="H207" i="1"/>
  <c r="I207" i="1" s="1"/>
  <c r="J207" i="1" s="1"/>
  <c r="K207" i="1" s="1"/>
  <c r="J230" i="1"/>
  <c r="K230" i="1" s="1"/>
  <c r="J227" i="1"/>
  <c r="K227" i="1" s="1"/>
  <c r="J247" i="1"/>
  <c r="K247" i="1" s="1"/>
  <c r="H922" i="1"/>
  <c r="I922" i="1" s="1"/>
  <c r="J922" i="1" s="1"/>
  <c r="K922" i="1" s="1"/>
  <c r="H912" i="1"/>
  <c r="I912" i="1" s="1"/>
  <c r="J912" i="1" s="1"/>
  <c r="K912" i="1" s="1"/>
  <c r="H901" i="1"/>
  <c r="I901" i="1" s="1"/>
  <c r="J901" i="1" s="1"/>
  <c r="K901" i="1" s="1"/>
  <c r="J467" i="1"/>
  <c r="K467" i="1" s="1"/>
  <c r="J460" i="1"/>
  <c r="K460" i="1" s="1"/>
  <c r="H428" i="1"/>
  <c r="I428" i="1" s="1"/>
  <c r="J428" i="1" s="1"/>
  <c r="K428" i="1" s="1"/>
  <c r="J452" i="1"/>
  <c r="K452" i="1" s="1"/>
  <c r="J702" i="1"/>
  <c r="K702" i="1" s="1"/>
  <c r="J693" i="1"/>
  <c r="K693" i="1" s="1"/>
  <c r="J680" i="1"/>
  <c r="K680" i="1" s="1"/>
  <c r="H654" i="1"/>
  <c r="I654" i="1" s="1"/>
  <c r="J654" i="1" s="1"/>
  <c r="K654" i="1" s="1"/>
  <c r="H308" i="1"/>
  <c r="I308" i="1" s="1"/>
  <c r="J308" i="1" s="1"/>
  <c r="K308" i="1" s="1"/>
  <c r="H314" i="1"/>
  <c r="I314" i="1" s="1"/>
  <c r="J314" i="1" s="1"/>
  <c r="K314" i="1" s="1"/>
  <c r="H307" i="1"/>
  <c r="I307" i="1" s="1"/>
  <c r="J307" i="1" s="1"/>
  <c r="K307" i="1" s="1"/>
  <c r="H300" i="1"/>
  <c r="I300" i="1" s="1"/>
  <c r="J300" i="1" s="1"/>
  <c r="K300" i="1" s="1"/>
  <c r="J124" i="1"/>
  <c r="K124" i="1" s="1"/>
  <c r="H66" i="1"/>
  <c r="I66" i="1" s="1"/>
  <c r="J66" i="1" s="1"/>
  <c r="K66" i="1" s="1"/>
  <c r="H70" i="1"/>
  <c r="I70" i="1" s="1"/>
  <c r="J70" i="1" s="1"/>
  <c r="K70" i="1" s="1"/>
  <c r="H74" i="1"/>
  <c r="I74" i="1" s="1"/>
  <c r="J74" i="1" s="1"/>
  <c r="K74" i="1" s="1"/>
  <c r="J798" i="1"/>
  <c r="K798" i="1" s="1"/>
  <c r="H1007" i="1"/>
  <c r="I1007" i="1" s="1"/>
  <c r="J1007" i="1" s="1"/>
  <c r="K1007" i="1" s="1"/>
  <c r="H955" i="1"/>
  <c r="I955" i="1" s="1"/>
  <c r="J955" i="1" s="1"/>
  <c r="K955" i="1" s="1"/>
  <c r="H935" i="1"/>
  <c r="I935" i="1" s="1"/>
  <c r="J935" i="1" s="1"/>
  <c r="K935" i="1" s="1"/>
  <c r="H937" i="1"/>
  <c r="I937" i="1" s="1"/>
  <c r="J937" i="1" s="1"/>
  <c r="K937" i="1" s="1"/>
  <c r="H930" i="1"/>
  <c r="I930" i="1" s="1"/>
  <c r="J930" i="1" s="1"/>
  <c r="K930" i="1" s="1"/>
  <c r="J433" i="1"/>
  <c r="K433" i="1" s="1"/>
  <c r="J182" i="1"/>
  <c r="K182" i="1" s="1"/>
  <c r="J510" i="1"/>
  <c r="K510" i="1" s="1"/>
  <c r="H550" i="1"/>
  <c r="I550" i="1" s="1"/>
  <c r="J550" i="1" s="1"/>
  <c r="K550" i="1" s="1"/>
  <c r="J558" i="1"/>
  <c r="K558" i="1" s="1"/>
  <c r="J577" i="1"/>
  <c r="K577" i="1" s="1"/>
  <c r="J546" i="1"/>
  <c r="K546" i="1" s="1"/>
  <c r="H535" i="1"/>
  <c r="I535" i="1" s="1"/>
  <c r="J535" i="1" s="1"/>
  <c r="K535" i="1" s="1"/>
  <c r="J630" i="1"/>
  <c r="K630" i="1" s="1"/>
  <c r="J620" i="1"/>
  <c r="K620" i="1" s="1"/>
  <c r="H588" i="1"/>
  <c r="I588" i="1" s="1"/>
  <c r="J588" i="1" s="1"/>
  <c r="K588" i="1" s="1"/>
  <c r="H590" i="1"/>
  <c r="I590" i="1" s="1"/>
  <c r="J590" i="1" s="1"/>
  <c r="K590" i="1" s="1"/>
  <c r="H613" i="1"/>
  <c r="I613" i="1" s="1"/>
  <c r="J613" i="1" s="1"/>
  <c r="K613" i="1" s="1"/>
  <c r="H625" i="1"/>
  <c r="I625" i="1" s="1"/>
  <c r="J625" i="1" s="1"/>
  <c r="K625" i="1" s="1"/>
  <c r="H617" i="1"/>
  <c r="I617" i="1" s="1"/>
  <c r="J617" i="1" s="1"/>
  <c r="K617" i="1" s="1"/>
  <c r="J1021" i="1"/>
  <c r="K1021" i="1" s="1"/>
  <c r="J310" i="1"/>
  <c r="K310" i="1" s="1"/>
  <c r="H284" i="1"/>
  <c r="I284" i="1" s="1"/>
  <c r="J284" i="1" s="1"/>
  <c r="K284" i="1" s="1"/>
  <c r="H829" i="1"/>
  <c r="I829" i="1" s="1"/>
  <c r="J829" i="1" s="1"/>
  <c r="K829" i="1" s="1"/>
  <c r="H817" i="1"/>
  <c r="I817" i="1" s="1"/>
  <c r="J817" i="1" s="1"/>
  <c r="K817" i="1" s="1"/>
  <c r="J137" i="1"/>
  <c r="K137" i="1" s="1"/>
  <c r="J150" i="1"/>
  <c r="K150" i="1" s="1"/>
  <c r="J59" i="1"/>
  <c r="K59" i="1" s="1"/>
  <c r="J63" i="1"/>
  <c r="K63" i="1" s="1"/>
  <c r="J51" i="1"/>
  <c r="K51" i="1" s="1"/>
  <c r="H1004" i="1"/>
  <c r="I1004" i="1" s="1"/>
  <c r="J1004" i="1" s="1"/>
  <c r="K1004" i="1" s="1"/>
  <c r="J362" i="1"/>
  <c r="K362" i="1" s="1"/>
  <c r="H718" i="1"/>
  <c r="I718" i="1" s="1"/>
  <c r="J718" i="1" s="1"/>
  <c r="K718" i="1" s="1"/>
  <c r="H722" i="1"/>
  <c r="I722" i="1" s="1"/>
  <c r="J722" i="1" s="1"/>
  <c r="K722" i="1" s="1"/>
  <c r="J249" i="1"/>
  <c r="K249" i="1" s="1"/>
  <c r="H216" i="1"/>
  <c r="I216" i="1" s="1"/>
  <c r="J216" i="1" s="1"/>
  <c r="K216" i="1" s="1"/>
  <c r="H213" i="1"/>
  <c r="I213" i="1" s="1"/>
  <c r="J213" i="1" s="1"/>
  <c r="K213" i="1" s="1"/>
  <c r="J231" i="1"/>
  <c r="K231" i="1" s="1"/>
  <c r="H919" i="1"/>
  <c r="I919" i="1" s="1"/>
  <c r="J919" i="1" s="1"/>
  <c r="K919" i="1" s="1"/>
  <c r="H907" i="1"/>
  <c r="I907" i="1" s="1"/>
  <c r="J907" i="1" s="1"/>
  <c r="K907" i="1" s="1"/>
  <c r="H446" i="1"/>
  <c r="I446" i="1" s="1"/>
  <c r="J446" i="1" s="1"/>
  <c r="K446" i="1" s="1"/>
  <c r="H436" i="1"/>
  <c r="I436" i="1" s="1"/>
  <c r="J436" i="1" s="1"/>
  <c r="K436" i="1" s="1"/>
  <c r="J473" i="1"/>
  <c r="K473" i="1" s="1"/>
  <c r="H438" i="1"/>
  <c r="I438" i="1" s="1"/>
  <c r="J438" i="1" s="1"/>
  <c r="K438" i="1" s="1"/>
  <c r="J695" i="1"/>
  <c r="K695" i="1" s="1"/>
  <c r="H669" i="1"/>
  <c r="I669" i="1" s="1"/>
  <c r="J669" i="1" s="1"/>
  <c r="K669" i="1" s="1"/>
  <c r="H666" i="1"/>
  <c r="I666" i="1" s="1"/>
  <c r="J666" i="1" s="1"/>
  <c r="K666" i="1" s="1"/>
  <c r="J677" i="1"/>
  <c r="K677" i="1" s="1"/>
  <c r="J353" i="1"/>
  <c r="K353" i="1" s="1"/>
  <c r="J343" i="1"/>
  <c r="K343" i="1" s="1"/>
  <c r="H294" i="1"/>
  <c r="I294" i="1" s="1"/>
  <c r="J294" i="1" s="1"/>
  <c r="K294" i="1" s="1"/>
  <c r="J332" i="1"/>
  <c r="K332" i="1" s="1"/>
  <c r="H73" i="1"/>
  <c r="I73" i="1" s="1"/>
  <c r="J73" i="1" s="1"/>
  <c r="K73" i="1" s="1"/>
  <c r="J121" i="1"/>
  <c r="K121" i="1" s="1"/>
  <c r="J125" i="1"/>
  <c r="K125" i="1" s="1"/>
  <c r="J129" i="1"/>
  <c r="K129" i="1" s="1"/>
  <c r="J777" i="1"/>
  <c r="K777" i="1" s="1"/>
  <c r="J781" i="1"/>
  <c r="K781" i="1" s="1"/>
  <c r="J785" i="1"/>
  <c r="K785" i="1" s="1"/>
  <c r="J782" i="1"/>
  <c r="K782" i="1" s="1"/>
  <c r="H944" i="1"/>
  <c r="I944" i="1" s="1"/>
  <c r="J982" i="1"/>
  <c r="K982" i="1" s="1"/>
  <c r="H1023" i="1"/>
  <c r="I1023" i="1" s="1"/>
  <c r="J1023" i="1" s="1"/>
  <c r="K1023" i="1" s="1"/>
  <c r="J430" i="1"/>
  <c r="K430" i="1" s="1"/>
  <c r="H171" i="1"/>
  <c r="I171" i="1" s="1"/>
  <c r="J171" i="1" s="1"/>
  <c r="K171" i="1" s="1"/>
  <c r="J259" i="1"/>
  <c r="K259" i="1" s="1"/>
  <c r="J177" i="1"/>
  <c r="K177" i="1" s="1"/>
  <c r="J176" i="1"/>
  <c r="K176" i="1" s="1"/>
  <c r="J166" i="1"/>
  <c r="K166" i="1" s="1"/>
  <c r="J417" i="1"/>
  <c r="K417" i="1" s="1"/>
  <c r="J414" i="1"/>
  <c r="K414" i="1" s="1"/>
  <c r="J402" i="1"/>
  <c r="K402" i="1" s="1"/>
  <c r="J406" i="1"/>
  <c r="K406" i="1" s="1"/>
  <c r="J508" i="1"/>
  <c r="K508" i="1" s="1"/>
  <c r="J496" i="1"/>
  <c r="K496" i="1" s="1"/>
  <c r="J598" i="1"/>
  <c r="K598" i="1" s="1"/>
  <c r="H533" i="1"/>
  <c r="I533" i="1" s="1"/>
  <c r="J533" i="1" s="1"/>
  <c r="K533" i="1" s="1"/>
  <c r="H589" i="1"/>
  <c r="I589" i="1" s="1"/>
  <c r="J589" i="1" s="1"/>
  <c r="K589" i="1" s="1"/>
  <c r="J639" i="1"/>
  <c r="K639" i="1" s="1"/>
  <c r="J626" i="1"/>
  <c r="K626" i="1" s="1"/>
  <c r="J876" i="1"/>
  <c r="K876" i="1" s="1"/>
  <c r="H285" i="1"/>
  <c r="I285" i="1" s="1"/>
  <c r="J285" i="1" s="1"/>
  <c r="K285" i="1" s="1"/>
  <c r="H268" i="1"/>
  <c r="I268" i="1" s="1"/>
  <c r="J268" i="1" s="1"/>
  <c r="K268" i="1" s="1"/>
  <c r="H806" i="1"/>
  <c r="I806" i="1" s="1"/>
  <c r="J806" i="1" s="1"/>
  <c r="K806" i="1" s="1"/>
  <c r="H830" i="1"/>
  <c r="I830" i="1" s="1"/>
  <c r="J830" i="1" s="1"/>
  <c r="K830" i="1" s="1"/>
  <c r="H997" i="1"/>
  <c r="I997" i="1" s="1"/>
  <c r="J997" i="1" s="1"/>
  <c r="K997" i="1" s="1"/>
  <c r="J161" i="1"/>
  <c r="K161" i="1" s="1"/>
  <c r="J134" i="1"/>
  <c r="K134" i="1" s="1"/>
  <c r="J147" i="1"/>
  <c r="K147" i="1" s="1"/>
  <c r="J62" i="1"/>
  <c r="K62" i="1" s="1"/>
  <c r="J43" i="1"/>
  <c r="K43" i="1" s="1"/>
  <c r="J47" i="1"/>
  <c r="K47" i="1" s="1"/>
  <c r="J35" i="1"/>
  <c r="K35" i="1" s="1"/>
  <c r="J384" i="1"/>
  <c r="K384" i="1" s="1"/>
  <c r="H720" i="1"/>
  <c r="I720" i="1" s="1"/>
  <c r="J720" i="1" s="1"/>
  <c r="K720" i="1" s="1"/>
  <c r="H713" i="1"/>
  <c r="I713" i="1" s="1"/>
  <c r="J713" i="1" s="1"/>
  <c r="K713" i="1" s="1"/>
  <c r="H715" i="1"/>
  <c r="I715" i="1" s="1"/>
  <c r="J715" i="1" s="1"/>
  <c r="K715" i="1" s="1"/>
  <c r="H706" i="1"/>
  <c r="I706" i="1" s="1"/>
  <c r="J706" i="1" s="1"/>
  <c r="K706" i="1" s="1"/>
  <c r="J244" i="1"/>
  <c r="K244" i="1" s="1"/>
  <c r="H200" i="1"/>
  <c r="I200" i="1" s="1"/>
  <c r="J200" i="1" s="1"/>
  <c r="K200" i="1" s="1"/>
  <c r="H197" i="1"/>
  <c r="I197" i="1" s="1"/>
  <c r="J197" i="1" s="1"/>
  <c r="K197" i="1" s="1"/>
  <c r="H217" i="1"/>
  <c r="I217" i="1" s="1"/>
  <c r="J217" i="1" s="1"/>
  <c r="K217" i="1" s="1"/>
  <c r="H908" i="1"/>
  <c r="I908" i="1" s="1"/>
  <c r="J908" i="1" s="1"/>
  <c r="K908" i="1" s="1"/>
  <c r="H926" i="1"/>
  <c r="I926" i="1" s="1"/>
  <c r="J926" i="1" s="1"/>
  <c r="K926" i="1" s="1"/>
  <c r="H442" i="1"/>
  <c r="I442" i="1" s="1"/>
  <c r="J442" i="1" s="1"/>
  <c r="K442" i="1" s="1"/>
  <c r="H448" i="1"/>
  <c r="I448" i="1" s="1"/>
  <c r="J448" i="1" s="1"/>
  <c r="K448" i="1" s="1"/>
  <c r="J470" i="1"/>
  <c r="K470" i="1" s="1"/>
  <c r="H422" i="1"/>
  <c r="I422" i="1" s="1"/>
  <c r="J422" i="1" s="1"/>
  <c r="K422" i="1" s="1"/>
  <c r="J683" i="1"/>
  <c r="K683" i="1" s="1"/>
  <c r="H662" i="1"/>
  <c r="I662" i="1" s="1"/>
  <c r="J662" i="1" s="1"/>
  <c r="K662" i="1" s="1"/>
  <c r="H650" i="1"/>
  <c r="I650" i="1" s="1"/>
  <c r="J650" i="1" s="1"/>
  <c r="K650" i="1" s="1"/>
  <c r="H663" i="1"/>
  <c r="I663" i="1" s="1"/>
  <c r="J663" i="1" s="1"/>
  <c r="K663" i="1" s="1"/>
  <c r="J339" i="1"/>
  <c r="K339" i="1" s="1"/>
  <c r="J335" i="1"/>
  <c r="K335" i="1" s="1"/>
  <c r="J337" i="1"/>
  <c r="K337" i="1" s="1"/>
  <c r="H318" i="1"/>
  <c r="I318" i="1" s="1"/>
  <c r="J318" i="1" s="1"/>
  <c r="K318" i="1" s="1"/>
  <c r="J108" i="1"/>
  <c r="K108" i="1" s="1"/>
  <c r="J105" i="1"/>
  <c r="K105" i="1" s="1"/>
  <c r="J109" i="1"/>
  <c r="K109" i="1" s="1"/>
  <c r="J113" i="1"/>
  <c r="K113" i="1" s="1"/>
  <c r="H739" i="1"/>
  <c r="I739" i="1" s="1"/>
  <c r="J739" i="1" s="1"/>
  <c r="K739" i="1" s="1"/>
  <c r="H767" i="1"/>
  <c r="I767" i="1" s="1"/>
  <c r="J767" i="1" s="1"/>
  <c r="K767" i="1" s="1"/>
  <c r="H755" i="1"/>
  <c r="I755" i="1" s="1"/>
  <c r="J755" i="1" s="1"/>
  <c r="K755" i="1" s="1"/>
  <c r="H768" i="1"/>
  <c r="I768" i="1" s="1"/>
  <c r="J768" i="1" s="1"/>
  <c r="K768" i="1" s="1"/>
  <c r="J974" i="1"/>
  <c r="K974" i="1" s="1"/>
  <c r="J962" i="1"/>
  <c r="K962" i="1" s="1"/>
  <c r="H1000" i="1"/>
  <c r="I1000" i="1" s="1"/>
  <c r="J1000" i="1" s="1"/>
  <c r="K1000" i="1" s="1"/>
  <c r="H169" i="1"/>
  <c r="I169" i="1" s="1"/>
  <c r="J169" i="1" s="1"/>
  <c r="K169" i="1" s="1"/>
  <c r="J174" i="1"/>
  <c r="K174" i="1" s="1"/>
  <c r="J164" i="1"/>
  <c r="K164" i="1" s="1"/>
  <c r="J731" i="1"/>
  <c r="K731" i="1" s="1"/>
  <c r="H868" i="1"/>
  <c r="I868" i="1" s="1"/>
  <c r="J868" i="1" s="1"/>
  <c r="K868" i="1" s="1"/>
  <c r="J405" i="1"/>
  <c r="K405" i="1" s="1"/>
  <c r="J398" i="1"/>
  <c r="K398" i="1" s="1"/>
  <c r="J386" i="1"/>
  <c r="K386" i="1" s="1"/>
  <c r="J390" i="1"/>
  <c r="K390" i="1" s="1"/>
  <c r="J494" i="1"/>
  <c r="K494" i="1" s="1"/>
  <c r="J493" i="1"/>
  <c r="K493" i="1" s="1"/>
  <c r="J500" i="1"/>
  <c r="K500" i="1" s="1"/>
  <c r="J823" i="1"/>
  <c r="K823" i="1" s="1"/>
  <c r="H519" i="1"/>
  <c r="I519" i="1" s="1"/>
  <c r="J519" i="1" s="1"/>
  <c r="K519" i="1" s="1"/>
  <c r="H602" i="1"/>
  <c r="I602" i="1" s="1"/>
  <c r="J602" i="1" s="1"/>
  <c r="K602" i="1" s="1"/>
  <c r="J870" i="1"/>
  <c r="K870" i="1" s="1"/>
  <c r="J1001" i="1"/>
  <c r="K1001" i="1" s="1"/>
  <c r="J315" i="1"/>
  <c r="K315" i="1" s="1"/>
  <c r="H264" i="1"/>
  <c r="I264" i="1" s="1"/>
  <c r="J264" i="1" s="1"/>
  <c r="K264" i="1" s="1"/>
  <c r="J319" i="1"/>
  <c r="K319" i="1" s="1"/>
  <c r="H807" i="1"/>
  <c r="I807" i="1" s="1"/>
  <c r="J807" i="1" s="1"/>
  <c r="K807" i="1" s="1"/>
  <c r="J840" i="1"/>
  <c r="K840" i="1" s="1"/>
  <c r="H814" i="1"/>
  <c r="I814" i="1" s="1"/>
  <c r="J814" i="1" s="1"/>
  <c r="K814" i="1" s="1"/>
  <c r="H1010" i="1"/>
  <c r="I1010" i="1" s="1"/>
  <c r="J1010" i="1" s="1"/>
  <c r="K1010" i="1" s="1"/>
  <c r="J158" i="1"/>
  <c r="K158" i="1" s="1"/>
  <c r="J131" i="1"/>
  <c r="K131" i="1" s="1"/>
  <c r="J46" i="1"/>
  <c r="K46" i="1" s="1"/>
  <c r="J368" i="1"/>
  <c r="K368" i="1" s="1"/>
  <c r="H717" i="1"/>
  <c r="I717" i="1" s="1"/>
  <c r="J717" i="1" s="1"/>
  <c r="K717" i="1" s="1"/>
  <c r="H710" i="1"/>
  <c r="I710" i="1" s="1"/>
  <c r="J710" i="1" s="1"/>
  <c r="K710" i="1" s="1"/>
  <c r="J253" i="1"/>
  <c r="K253" i="1" s="1"/>
  <c r="J239" i="1"/>
  <c r="K239" i="1" s="1"/>
  <c r="J252" i="1"/>
  <c r="K252" i="1" s="1"/>
  <c r="H201" i="1"/>
  <c r="I201" i="1" s="1"/>
  <c r="J201" i="1" s="1"/>
  <c r="K201" i="1" s="1"/>
  <c r="H905" i="1"/>
  <c r="I905" i="1" s="1"/>
  <c r="J905" i="1" s="1"/>
  <c r="K905" i="1" s="1"/>
  <c r="H923" i="1"/>
  <c r="I923" i="1" s="1"/>
  <c r="J923" i="1" s="1"/>
  <c r="K923" i="1" s="1"/>
  <c r="H910" i="1"/>
  <c r="I910" i="1" s="1"/>
  <c r="J910" i="1" s="1"/>
  <c r="K910" i="1" s="1"/>
  <c r="H421" i="1"/>
  <c r="I421" i="1" s="1"/>
  <c r="J421" i="1" s="1"/>
  <c r="K421" i="1" s="1"/>
  <c r="H444" i="1"/>
  <c r="I444" i="1" s="1"/>
  <c r="J444" i="1" s="1"/>
  <c r="K444" i="1" s="1"/>
  <c r="H432" i="1"/>
  <c r="I432" i="1" s="1"/>
  <c r="J432" i="1" s="1"/>
  <c r="K432" i="1" s="1"/>
  <c r="H447" i="1"/>
  <c r="I447" i="1" s="1"/>
  <c r="J447" i="1" s="1"/>
  <c r="K447" i="1" s="1"/>
  <c r="H672" i="1"/>
  <c r="I672" i="1" s="1"/>
  <c r="J672" i="1" s="1"/>
  <c r="K672" i="1" s="1"/>
  <c r="J703" i="1"/>
  <c r="K703" i="1" s="1"/>
  <c r="H659" i="1"/>
  <c r="I659" i="1" s="1"/>
  <c r="J659" i="1" s="1"/>
  <c r="K659" i="1" s="1"/>
  <c r="H647" i="1"/>
  <c r="I647" i="1" s="1"/>
  <c r="J647" i="1" s="1"/>
  <c r="K647" i="1" s="1"/>
  <c r="H321" i="1"/>
  <c r="I321" i="1" s="1"/>
  <c r="J321" i="1" s="1"/>
  <c r="K321" i="1" s="1"/>
  <c r="J329" i="1"/>
  <c r="K329" i="1" s="1"/>
  <c r="J334" i="1"/>
  <c r="K334" i="1" s="1"/>
  <c r="H302" i="1"/>
  <c r="I302" i="1" s="1"/>
  <c r="J302" i="1" s="1"/>
  <c r="K302" i="1" s="1"/>
  <c r="H89" i="1"/>
  <c r="I89" i="1" s="1"/>
  <c r="J89" i="1" s="1"/>
  <c r="K89" i="1" s="1"/>
  <c r="H91" i="1"/>
  <c r="I91" i="1" s="1"/>
  <c r="J91" i="1" s="1"/>
  <c r="K91" i="1" s="1"/>
  <c r="H95" i="1"/>
  <c r="I95" i="1" s="1"/>
  <c r="J95" i="1" s="1"/>
  <c r="K95" i="1" s="1"/>
  <c r="H83" i="1"/>
  <c r="I83" i="1" s="1"/>
  <c r="J83" i="1" s="1"/>
  <c r="K83" i="1" s="1"/>
  <c r="J788" i="1"/>
  <c r="K788" i="1" s="1"/>
  <c r="H751" i="1"/>
  <c r="I751" i="1" s="1"/>
  <c r="J751" i="1" s="1"/>
  <c r="K751" i="1" s="1"/>
  <c r="H748" i="1"/>
  <c r="I748" i="1" s="1"/>
  <c r="J748" i="1" s="1"/>
  <c r="K748" i="1" s="1"/>
  <c r="H752" i="1"/>
  <c r="I752" i="1" s="1"/>
  <c r="J752" i="1" s="1"/>
  <c r="K752" i="1" s="1"/>
  <c r="H948" i="1"/>
  <c r="I948" i="1" s="1"/>
  <c r="J948" i="1" s="1"/>
  <c r="K948" i="1" s="1"/>
  <c r="H952" i="1"/>
  <c r="I952" i="1" s="1"/>
  <c r="J952" i="1" s="1"/>
  <c r="K952" i="1" s="1"/>
  <c r="H956" i="1"/>
  <c r="I956" i="1" s="1"/>
  <c r="J956" i="1" s="1"/>
  <c r="K956" i="1" s="1"/>
  <c r="H192" i="1"/>
  <c r="I192" i="1" s="1"/>
  <c r="J192" i="1" s="1"/>
  <c r="K192" i="1" s="1"/>
  <c r="H180" i="1"/>
  <c r="I180" i="1" s="1"/>
  <c r="J180" i="1" s="1"/>
  <c r="K180" i="1" s="1"/>
  <c r="H185" i="1"/>
  <c r="I185" i="1" s="1"/>
  <c r="J185" i="1" s="1"/>
  <c r="K185" i="1" s="1"/>
  <c r="H184" i="1"/>
  <c r="I184" i="1" s="1"/>
  <c r="J184" i="1" s="1"/>
  <c r="K184" i="1" s="1"/>
  <c r="H395" i="1"/>
  <c r="I395" i="1" s="1"/>
  <c r="J395" i="1" s="1"/>
  <c r="K395" i="1" s="1"/>
  <c r="H399" i="1"/>
  <c r="I399" i="1" s="1"/>
  <c r="J399" i="1" s="1"/>
  <c r="K399" i="1" s="1"/>
  <c r="H503" i="1"/>
  <c r="I503" i="1" s="1"/>
  <c r="J503" i="1" s="1"/>
  <c r="K503" i="1" s="1"/>
  <c r="J387" i="1"/>
  <c r="K387" i="1" s="1"/>
  <c r="J482" i="1"/>
  <c r="K482" i="1" s="1"/>
  <c r="J561" i="1"/>
  <c r="K561" i="1" s="1"/>
  <c r="H539" i="1"/>
  <c r="I539" i="1" s="1"/>
  <c r="J539" i="1" s="1"/>
  <c r="K539" i="1" s="1"/>
  <c r="H521" i="1"/>
  <c r="I521" i="1" s="1"/>
  <c r="J521" i="1" s="1"/>
  <c r="K521" i="1" s="1"/>
  <c r="H593" i="1"/>
  <c r="I593" i="1" s="1"/>
  <c r="J593" i="1" s="1"/>
  <c r="K593" i="1" s="1"/>
  <c r="H595" i="1"/>
  <c r="I595" i="1" s="1"/>
  <c r="J595" i="1" s="1"/>
  <c r="K595" i="1" s="1"/>
  <c r="H632" i="1"/>
  <c r="I632" i="1" s="1"/>
  <c r="J632" i="1" s="1"/>
  <c r="K632" i="1" s="1"/>
  <c r="H629" i="1"/>
  <c r="I629" i="1" s="1"/>
  <c r="J629" i="1" s="1"/>
  <c r="K629" i="1" s="1"/>
  <c r="H611" i="1"/>
  <c r="I611" i="1" s="1"/>
  <c r="J611" i="1" s="1"/>
  <c r="K611" i="1" s="1"/>
  <c r="J894" i="1"/>
  <c r="K894" i="1" s="1"/>
  <c r="J834" i="1"/>
  <c r="K834" i="1" s="1"/>
  <c r="H826" i="1"/>
  <c r="I826" i="1" s="1"/>
  <c r="J826" i="1" s="1"/>
  <c r="K826" i="1" s="1"/>
  <c r="H707" i="1"/>
  <c r="I707" i="1" s="1"/>
  <c r="J707" i="1" s="1"/>
  <c r="K707" i="1" s="1"/>
  <c r="H1002" i="1"/>
  <c r="I1002" i="1" s="1"/>
  <c r="J1002" i="1" s="1"/>
  <c r="K1002" i="1" s="1"/>
  <c r="J228" i="1"/>
  <c r="K228" i="1" s="1"/>
  <c r="H225" i="1"/>
  <c r="I225" i="1" s="1"/>
  <c r="J225" i="1" s="1"/>
  <c r="K225" i="1" s="1"/>
  <c r="J236" i="1"/>
  <c r="K236" i="1" s="1"/>
  <c r="J256" i="1"/>
  <c r="K256" i="1" s="1"/>
  <c r="H924" i="1"/>
  <c r="I924" i="1" s="1"/>
  <c r="J924" i="1" s="1"/>
  <c r="K924" i="1" s="1"/>
  <c r="H909" i="1"/>
  <c r="I909" i="1" s="1"/>
  <c r="J909" i="1" s="1"/>
  <c r="K909" i="1" s="1"/>
  <c r="J944" i="1"/>
  <c r="K944" i="1" s="1"/>
  <c r="J478" i="1"/>
  <c r="K478" i="1" s="1"/>
  <c r="J471" i="1"/>
  <c r="K471" i="1" s="1"/>
  <c r="H441" i="1"/>
  <c r="I441" i="1" s="1"/>
  <c r="J441" i="1" s="1"/>
  <c r="K441" i="1" s="1"/>
  <c r="H431" i="1"/>
  <c r="I431" i="1" s="1"/>
  <c r="J431" i="1" s="1"/>
  <c r="K431" i="1" s="1"/>
  <c r="J705" i="1"/>
  <c r="K705" i="1" s="1"/>
  <c r="J685" i="1"/>
  <c r="K685" i="1" s="1"/>
  <c r="H643" i="1"/>
  <c r="I643" i="1" s="1"/>
  <c r="J643" i="1" s="1"/>
  <c r="K643" i="1" s="1"/>
  <c r="J679" i="1"/>
  <c r="K679" i="1" s="1"/>
  <c r="J346" i="1"/>
  <c r="K346" i="1" s="1"/>
  <c r="J352" i="1"/>
  <c r="K352" i="1" s="1"/>
  <c r="J322" i="1"/>
  <c r="K322" i="1" s="1"/>
  <c r="J341" i="1"/>
  <c r="K341" i="1" s="1"/>
  <c r="J103" i="1"/>
  <c r="K103" i="1" s="1"/>
  <c r="H75" i="1"/>
  <c r="I75" i="1" s="1"/>
  <c r="J75" i="1" s="1"/>
  <c r="K75" i="1" s="1"/>
  <c r="H79" i="1"/>
  <c r="I79" i="1" s="1"/>
  <c r="J79" i="1" s="1"/>
  <c r="K79" i="1" s="1"/>
  <c r="H67" i="1"/>
  <c r="I67" i="1" s="1"/>
  <c r="J67" i="1" s="1"/>
  <c r="K67" i="1" s="1"/>
  <c r="H763" i="1"/>
  <c r="I763" i="1" s="1"/>
  <c r="J763" i="1" s="1"/>
  <c r="K763" i="1" s="1"/>
  <c r="J790" i="1"/>
  <c r="K790" i="1" s="1"/>
  <c r="J794" i="1"/>
  <c r="K794" i="1" s="1"/>
  <c r="H742" i="1"/>
  <c r="I742" i="1" s="1"/>
  <c r="J742" i="1" s="1"/>
  <c r="K742" i="1" s="1"/>
  <c r="H931" i="1"/>
  <c r="I931" i="1" s="1"/>
  <c r="J931" i="1" s="1"/>
  <c r="K931" i="1" s="1"/>
  <c r="H933" i="1"/>
  <c r="I933" i="1" s="1"/>
  <c r="J933" i="1" s="1"/>
  <c r="K933" i="1" s="1"/>
  <c r="J991" i="1"/>
  <c r="K991" i="1" s="1"/>
  <c r="H1012" i="1"/>
  <c r="I1012" i="1" s="1"/>
  <c r="J1012" i="1" s="1"/>
  <c r="K1012" i="1" s="1"/>
  <c r="J723" i="1"/>
  <c r="K723" i="1" s="1"/>
  <c r="H173" i="1"/>
  <c r="I173" i="1" s="1"/>
  <c r="J173" i="1" s="1"/>
  <c r="K173" i="1" s="1"/>
  <c r="J191" i="1"/>
  <c r="K191" i="1" s="1"/>
  <c r="H489" i="1"/>
  <c r="I489" i="1" s="1"/>
  <c r="J489" i="1" s="1"/>
  <c r="K489" i="1" s="1"/>
  <c r="J504" i="1"/>
  <c r="K504" i="1" s="1"/>
  <c r="H572" i="1"/>
  <c r="I572" i="1" s="1"/>
  <c r="J572" i="1" s="1"/>
  <c r="K572" i="1" s="1"/>
  <c r="H547" i="1"/>
  <c r="I547" i="1" s="1"/>
  <c r="J547" i="1" s="1"/>
  <c r="K547" i="1" s="1"/>
  <c r="H531" i="1"/>
  <c r="I531" i="1" s="1"/>
  <c r="J531" i="1" s="1"/>
  <c r="K531" i="1" s="1"/>
  <c r="H543" i="1"/>
  <c r="I543" i="1" s="1"/>
  <c r="J543" i="1" s="1"/>
  <c r="K543" i="1" s="1"/>
  <c r="H515" i="1"/>
  <c r="I515" i="1" s="1"/>
  <c r="J515" i="1" s="1"/>
  <c r="K515" i="1" s="1"/>
  <c r="H599" i="1"/>
  <c r="I599" i="1" s="1"/>
  <c r="J599" i="1" s="1"/>
  <c r="K599" i="1" s="1"/>
  <c r="J636" i="1"/>
  <c r="K636" i="1" s="1"/>
  <c r="H615" i="1"/>
  <c r="I615" i="1" s="1"/>
  <c r="J615" i="1" s="1"/>
  <c r="K615" i="1" s="1"/>
  <c r="H640" i="1"/>
  <c r="I640" i="1" s="1"/>
  <c r="J640" i="1" s="1"/>
  <c r="K640" i="1" s="1"/>
  <c r="J881" i="1"/>
  <c r="K881" i="1" s="1"/>
  <c r="J889" i="1"/>
  <c r="K889" i="1" s="1"/>
  <c r="J878" i="1"/>
  <c r="K878" i="1" s="1"/>
  <c r="J1022" i="1"/>
  <c r="K1022" i="1" s="1"/>
  <c r="H276" i="1"/>
  <c r="I276" i="1" s="1"/>
  <c r="J276" i="1" s="1"/>
  <c r="K276" i="1" s="1"/>
  <c r="H286" i="1"/>
  <c r="I286" i="1" s="1"/>
  <c r="J286" i="1" s="1"/>
  <c r="K286" i="1" s="1"/>
  <c r="J836" i="1"/>
  <c r="K836" i="1" s="1"/>
  <c r="H820" i="1"/>
  <c r="I820" i="1" s="1"/>
  <c r="J820" i="1" s="1"/>
  <c r="K820" i="1" s="1"/>
  <c r="H810" i="1"/>
  <c r="I810" i="1" s="1"/>
  <c r="J810" i="1" s="1"/>
  <c r="K810" i="1" s="1"/>
  <c r="J846" i="1"/>
  <c r="K846" i="1" s="1"/>
  <c r="J159" i="1"/>
  <c r="K159" i="1" s="1"/>
  <c r="H101" i="1"/>
  <c r="I101" i="1" s="1"/>
  <c r="J101" i="1" s="1"/>
  <c r="K101" i="1" s="1"/>
  <c r="J52" i="1"/>
  <c r="K52" i="1" s="1"/>
  <c r="J56" i="1"/>
  <c r="K56" i="1" s="1"/>
  <c r="J741" i="1"/>
  <c r="K741" i="1" s="1"/>
  <c r="H1020" i="1"/>
  <c r="I1020" i="1" s="1"/>
  <c r="J1020" i="1" s="1"/>
  <c r="K1020" i="1" s="1"/>
  <c r="H203" i="1"/>
  <c r="I203" i="1" s="1"/>
  <c r="J203" i="1" s="1"/>
  <c r="K203" i="1" s="1"/>
  <c r="H209" i="1"/>
  <c r="I209" i="1" s="1"/>
  <c r="J209" i="1" s="1"/>
  <c r="K209" i="1" s="1"/>
  <c r="H222" i="1"/>
  <c r="I222" i="1" s="1"/>
  <c r="J222" i="1" s="1"/>
  <c r="K222" i="1" s="1"/>
  <c r="J240" i="1"/>
  <c r="K240" i="1" s="1"/>
  <c r="H921" i="1"/>
  <c r="I921" i="1" s="1"/>
  <c r="J921" i="1" s="1"/>
  <c r="K921" i="1" s="1"/>
  <c r="H914" i="1"/>
  <c r="I914" i="1" s="1"/>
  <c r="J914" i="1" s="1"/>
  <c r="K914" i="1" s="1"/>
  <c r="J464" i="1"/>
  <c r="K464" i="1" s="1"/>
  <c r="J457" i="1"/>
  <c r="K457" i="1" s="1"/>
  <c r="H425" i="1"/>
  <c r="I425" i="1" s="1"/>
  <c r="J425" i="1" s="1"/>
  <c r="K425" i="1" s="1"/>
  <c r="H440" i="1"/>
  <c r="I440" i="1" s="1"/>
  <c r="J440" i="1" s="1"/>
  <c r="K440" i="1" s="1"/>
  <c r="H646" i="1"/>
  <c r="I646" i="1" s="1"/>
  <c r="J646" i="1" s="1"/>
  <c r="K646" i="1" s="1"/>
  <c r="J674" i="1"/>
  <c r="K674" i="1" s="1"/>
  <c r="J698" i="1"/>
  <c r="K698" i="1" s="1"/>
  <c r="H665" i="1"/>
  <c r="I665" i="1" s="1"/>
  <c r="J665" i="1" s="1"/>
  <c r="K665" i="1" s="1"/>
  <c r="J333" i="1"/>
  <c r="K333" i="1" s="1"/>
  <c r="J326" i="1"/>
  <c r="K326" i="1" s="1"/>
  <c r="H297" i="1"/>
  <c r="I297" i="1" s="1"/>
  <c r="J297" i="1" s="1"/>
  <c r="K297" i="1" s="1"/>
  <c r="J325" i="1"/>
  <c r="K325" i="1" s="1"/>
  <c r="J119" i="1"/>
  <c r="K119" i="1" s="1"/>
  <c r="J114" i="1"/>
  <c r="K114" i="1" s="1"/>
  <c r="J118" i="1"/>
  <c r="K118" i="1" s="1"/>
  <c r="J122" i="1"/>
  <c r="K122" i="1" s="1"/>
  <c r="J773" i="1"/>
  <c r="K773" i="1" s="1"/>
  <c r="J774" i="1"/>
  <c r="K774" i="1" s="1"/>
  <c r="J778" i="1"/>
  <c r="K778" i="1" s="1"/>
  <c r="J791" i="1"/>
  <c r="K791" i="1" s="1"/>
  <c r="J985" i="1"/>
  <c r="K985" i="1" s="1"/>
  <c r="J987" i="1"/>
  <c r="K987" i="1" s="1"/>
  <c r="J975" i="1"/>
  <c r="K975" i="1" s="1"/>
  <c r="J963" i="1"/>
  <c r="K963" i="1" s="1"/>
  <c r="J266" i="1"/>
  <c r="K266" i="1" s="1"/>
  <c r="J282" i="1"/>
  <c r="K282" i="1" s="1"/>
  <c r="H396" i="1"/>
  <c r="I396" i="1" s="1"/>
  <c r="J396" i="1" s="1"/>
  <c r="K396" i="1" s="1"/>
  <c r="J183" i="1"/>
  <c r="K183" i="1" s="1"/>
  <c r="J726" i="1"/>
  <c r="K726" i="1" s="1"/>
  <c r="J911" i="1"/>
  <c r="K911" i="1" s="1"/>
  <c r="J928" i="1"/>
  <c r="K928" i="1" s="1"/>
  <c r="J415" i="1"/>
  <c r="K415" i="1" s="1"/>
  <c r="J809" i="1"/>
  <c r="K809" i="1" s="1"/>
  <c r="H520" i="1"/>
  <c r="I520" i="1" s="1"/>
  <c r="J520" i="1" s="1"/>
  <c r="K520" i="1" s="1"/>
  <c r="H538" i="1"/>
  <c r="I538" i="1" s="1"/>
  <c r="J538" i="1" s="1"/>
  <c r="K538" i="1" s="1"/>
  <c r="H605" i="1"/>
  <c r="I605" i="1" s="1"/>
  <c r="J605" i="1" s="1"/>
  <c r="K605" i="1" s="1"/>
  <c r="H583" i="1"/>
  <c r="I583" i="1" s="1"/>
  <c r="J583" i="1" s="1"/>
  <c r="K583" i="1" s="1"/>
  <c r="J616" i="1"/>
  <c r="K616" i="1" s="1"/>
  <c r="J670" i="1"/>
  <c r="K670" i="1" s="1"/>
  <c r="H621" i="1"/>
  <c r="I621" i="1" s="1"/>
  <c r="J621" i="1" s="1"/>
  <c r="K621" i="1" s="1"/>
  <c r="J897" i="1"/>
  <c r="K897" i="1" s="1"/>
  <c r="J886" i="1"/>
  <c r="K886" i="1" s="1"/>
  <c r="J888" i="1"/>
  <c r="K888" i="1" s="1"/>
  <c r="J998" i="1"/>
  <c r="K998" i="1" s="1"/>
  <c r="J994" i="1"/>
  <c r="K994" i="1" s="1"/>
  <c r="H273" i="1"/>
  <c r="I273" i="1" s="1"/>
  <c r="J273" i="1" s="1"/>
  <c r="K273" i="1" s="1"/>
  <c r="H287" i="1"/>
  <c r="I287" i="1" s="1"/>
  <c r="J287" i="1" s="1"/>
  <c r="K287" i="1" s="1"/>
  <c r="H270" i="1"/>
  <c r="I270" i="1" s="1"/>
  <c r="J270" i="1" s="1"/>
  <c r="K270" i="1" s="1"/>
  <c r="H804" i="1"/>
  <c r="I804" i="1" s="1"/>
  <c r="J804" i="1" s="1"/>
  <c r="K804" i="1" s="1"/>
  <c r="H819" i="1"/>
  <c r="I819" i="1" s="1"/>
  <c r="J819" i="1" s="1"/>
  <c r="K819" i="1" s="1"/>
  <c r="H832" i="1"/>
  <c r="I832" i="1" s="1"/>
  <c r="J832" i="1" s="1"/>
  <c r="K832" i="1" s="1"/>
  <c r="J143" i="1"/>
  <c r="K143" i="1" s="1"/>
  <c r="J40" i="1"/>
  <c r="K40" i="1" s="1"/>
  <c r="J361" i="1"/>
  <c r="K361" i="1" s="1"/>
  <c r="H729" i="1"/>
  <c r="I729" i="1" s="1"/>
  <c r="J729" i="1" s="1"/>
  <c r="K729" i="1" s="1"/>
  <c r="H727" i="1"/>
  <c r="I727" i="1" s="1"/>
  <c r="J727" i="1" s="1"/>
  <c r="K727" i="1" s="1"/>
  <c r="J243" i="1"/>
  <c r="K243" i="1" s="1"/>
  <c r="H195" i="1"/>
  <c r="I195" i="1" s="1"/>
  <c r="J195" i="1" s="1"/>
  <c r="K195" i="1" s="1"/>
  <c r="H206" i="1"/>
  <c r="I206" i="1" s="1"/>
  <c r="J206" i="1" s="1"/>
  <c r="K206" i="1" s="1"/>
  <c r="H210" i="1"/>
  <c r="I210" i="1" s="1"/>
  <c r="J210" i="1" s="1"/>
  <c r="K210" i="1" s="1"/>
  <c r="H916" i="1"/>
  <c r="I916" i="1" s="1"/>
  <c r="J916" i="1" s="1"/>
  <c r="K916" i="1" s="1"/>
  <c r="H898" i="1"/>
  <c r="I898" i="1" s="1"/>
  <c r="J898" i="1" s="1"/>
  <c r="K898" i="1" s="1"/>
  <c r="J461" i="1"/>
  <c r="K461" i="1" s="1"/>
  <c r="J454" i="1"/>
  <c r="K454" i="1" s="1"/>
  <c r="H434" i="1"/>
  <c r="I434" i="1" s="1"/>
  <c r="J434" i="1" s="1"/>
  <c r="K434" i="1" s="1"/>
  <c r="H424" i="1"/>
  <c r="I424" i="1" s="1"/>
  <c r="J424" i="1" s="1"/>
  <c r="K424" i="1" s="1"/>
  <c r="H656" i="1"/>
  <c r="I656" i="1" s="1"/>
  <c r="J656" i="1" s="1"/>
  <c r="K656" i="1" s="1"/>
  <c r="H651" i="1"/>
  <c r="I651" i="1" s="1"/>
  <c r="J651" i="1" s="1"/>
  <c r="K651" i="1" s="1"/>
  <c r="J682" i="1"/>
  <c r="K682" i="1" s="1"/>
  <c r="H649" i="1"/>
  <c r="I649" i="1" s="1"/>
  <c r="J649" i="1" s="1"/>
  <c r="K649" i="1" s="1"/>
  <c r="J327" i="1"/>
  <c r="K327" i="1" s="1"/>
  <c r="J323" i="1"/>
  <c r="K323" i="1" s="1"/>
  <c r="J349" i="1"/>
  <c r="K349" i="1" s="1"/>
  <c r="H311" i="1"/>
  <c r="I311" i="1" s="1"/>
  <c r="J311" i="1" s="1"/>
  <c r="K311" i="1" s="1"/>
  <c r="J117" i="1"/>
  <c r="K117" i="1" s="1"/>
  <c r="J98" i="1"/>
  <c r="K98" i="1" s="1"/>
  <c r="J102" i="1"/>
  <c r="K102" i="1" s="1"/>
  <c r="J106" i="1"/>
  <c r="K106" i="1" s="1"/>
  <c r="J772" i="1"/>
  <c r="K772" i="1" s="1"/>
  <c r="H760" i="1"/>
  <c r="I760" i="1" s="1"/>
  <c r="J760" i="1" s="1"/>
  <c r="K760" i="1" s="1"/>
  <c r="H764" i="1"/>
  <c r="I764" i="1" s="1"/>
  <c r="J764" i="1" s="1"/>
  <c r="K764" i="1" s="1"/>
  <c r="J775" i="1"/>
  <c r="K775" i="1" s="1"/>
  <c r="H960" i="1"/>
  <c r="I960" i="1" s="1"/>
  <c r="J960" i="1" s="1"/>
  <c r="K960" i="1" s="1"/>
  <c r="J971" i="1"/>
  <c r="K971" i="1" s="1"/>
  <c r="H961" i="1"/>
  <c r="I961" i="1" s="1"/>
  <c r="J961" i="1" s="1"/>
  <c r="K961" i="1" s="1"/>
  <c r="H949" i="1"/>
  <c r="I949" i="1" s="1"/>
  <c r="J949" i="1" s="1"/>
  <c r="K949" i="1" s="1"/>
  <c r="H1014" i="1"/>
  <c r="I1014" i="1" s="1"/>
  <c r="J1014" i="1" s="1"/>
  <c r="K1014" i="1" s="1"/>
  <c r="H2" i="1"/>
  <c r="I2" i="1" s="1"/>
  <c r="J2" i="1" s="1"/>
  <c r="K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<sst xmlns="http://schemas.openxmlformats.org/spreadsheetml/2006/main" count="21" uniqueCount="20">
  <si>
    <t xml:space="preserve">Ro = </t>
  </si>
  <si>
    <t>Bcoef</t>
  </si>
  <si>
    <t>R</t>
  </si>
  <si>
    <t>To('C)</t>
  </si>
  <si>
    <t>To('K)</t>
  </si>
  <si>
    <t>'C</t>
  </si>
  <si>
    <t>Steinhart</t>
  </si>
  <si>
    <t>ADC Bits</t>
  </si>
  <si>
    <t>Max ADC</t>
  </si>
  <si>
    <t>Series Resistor</t>
  </si>
  <si>
    <t>'F</t>
  </si>
  <si>
    <t>TableIdx</t>
  </si>
  <si>
    <t>T-'F</t>
  </si>
  <si>
    <t>ADC Row</t>
  </si>
  <si>
    <t>T-end</t>
  </si>
  <si>
    <t>T-start</t>
  </si>
  <si>
    <t>T-Detla</t>
  </si>
  <si>
    <t>T-Add</t>
  </si>
  <si>
    <t>Err-F</t>
  </si>
  <si>
    <t>Table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</si>
</sst>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164" fontId="0" fillId="0" borderId="0" xfId="0" applyNumberFormat="1"/>
    <xf numFmtId="2" fontId="0" fillId="0" borderId="0" xfId="0" applyNumberFormat="1"/>
    <xf numFmtId="0" fontId="1" fillId="0" borderId="0" xfId="0" applyFont="1"/>
    <xf numFmtId="0" fontId="1" fillId="0" borderId="0" xfId="0" quotePrefix="1" applyFont="1"/>
    <xf numFmtId="0" fontId="0" fillId="2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42B8D-C399-49DE-A671-8BA427FD795A}">
  <dimension ref="A1:Z1025"/>
  <sheetViews>
    <sheetView tabSelected="1" zoomScale="130" zoomScaleNormal="130" workbookViewId="0">
      <selection activeCell="R12" sqref="R12"/>
    </sheetView>
  </sheetViews>
  <sheetFormatPr defaultRowHeight="14.4" x14ac:dyDescent="0.3"/>
  <cols>
    <col min="2" max="2" width="13.88671875" hidden="1" customWidth="1"/>
    <col min="3" max="3" width="10.5546875" hidden="1" customWidth="1"/>
    <col min="4" max="4" width="12.5546875" hidden="1" customWidth="1"/>
    <col min="5" max="5" width="9.5546875" bestFit="1" customWidth="1"/>
    <col min="6" max="9" width="0" hidden="1" customWidth="1"/>
    <col min="14" max="14" width="8.88671875" hidden="1" customWidth="1"/>
    <col min="25" max="25" width="12.109375" customWidth="1"/>
  </cols>
  <sheetData>
    <row r="1" spans="1:26" x14ac:dyDescent="0.3">
      <c r="A1" s="4" t="s">
        <v>7</v>
      </c>
      <c r="B1" s="4" t="s">
        <v>2</v>
      </c>
      <c r="C1" s="4" t="s">
        <v>6</v>
      </c>
      <c r="D1" s="5" t="s">
        <v>5</v>
      </c>
      <c r="E1" s="5" t="s">
        <v>10</v>
      </c>
      <c r="F1" s="4" t="s">
        <v>15</v>
      </c>
      <c r="G1" s="4" t="s">
        <v>14</v>
      </c>
      <c r="H1" s="4" t="s">
        <v>16</v>
      </c>
      <c r="I1" s="4" t="s">
        <v>17</v>
      </c>
      <c r="J1" s="4" t="s">
        <v>12</v>
      </c>
      <c r="K1" s="4" t="s">
        <v>18</v>
      </c>
      <c r="L1" s="4"/>
      <c r="M1" s="4" t="s">
        <v>11</v>
      </c>
      <c r="N1" t="s">
        <v>13</v>
      </c>
      <c r="O1" s="4" t="s">
        <v>12</v>
      </c>
      <c r="S1" s="4" t="s">
        <v>9</v>
      </c>
      <c r="T1">
        <v>10000</v>
      </c>
      <c r="U1" s="4" t="s">
        <v>8</v>
      </c>
      <c r="V1">
        <v>1023</v>
      </c>
      <c r="Y1" s="4" t="s">
        <v>19</v>
      </c>
      <c r="Z1">
        <v>32</v>
      </c>
    </row>
    <row r="2" spans="1:26" x14ac:dyDescent="0.3">
      <c r="A2">
        <v>0</v>
      </c>
      <c r="B2" s="2">
        <f t="shared" ref="B2:B65" si="0">$T$1*A2/($V$1-A2)</f>
        <v>0</v>
      </c>
      <c r="C2" s="2" t="e">
        <f t="shared" ref="C2:C65" si="1">LOG(B2/$T$2)/$T$3 + (1/$X$2)</f>
        <v>#NUM!</v>
      </c>
      <c r="D2" s="2" t="e">
        <f t="shared" ref="D2:D65" si="2">1/C2 - 273.15</f>
        <v>#NUM!</v>
      </c>
      <c r="E2" s="3">
        <v>250</v>
      </c>
      <c r="F2" cm="1">
        <f t="array" aca="1" ref="F2" ca="1">INDEX($O$2:$O$34,INT(A2/$Z$1)+1)</f>
        <v>250</v>
      </c>
      <c r="G2" cm="1">
        <f t="array" aca="1" ref="G2" ca="1">INDEX($O$2:$O$34,INT(A2/$Z$1)+2)</f>
        <v>145.05341339997875</v>
      </c>
      <c r="H2">
        <f ca="1">(G2-F2)/$Z$1</f>
        <v>-3.279580831250664</v>
      </c>
      <c r="I2">
        <f ca="1">H2*MOD(A2,$Z$1)</f>
        <v>0</v>
      </c>
      <c r="J2" s="3">
        <f ca="1">F2+I2</f>
        <v>250</v>
      </c>
      <c r="K2" s="3">
        <f ca="1">E2-J2</f>
        <v>0</v>
      </c>
      <c r="L2" s="3"/>
      <c r="M2">
        <v>0</v>
      </c>
      <c r="N2">
        <v>2</v>
      </c>
      <c r="O2" s="3" cm="1">
        <f t="array" aca="1" ref="O2" ca="1">INDIRECT("E"&amp;N2)</f>
        <v>250</v>
      </c>
      <c r="Q2" s="1"/>
      <c r="S2" s="4" t="s">
        <v>0</v>
      </c>
      <c r="T2">
        <v>10000</v>
      </c>
      <c r="U2" s="4" t="s">
        <v>3</v>
      </c>
      <c r="V2">
        <v>25</v>
      </c>
      <c r="W2" s="4" t="s">
        <v>4</v>
      </c>
      <c r="X2" s="6">
        <f>$V$2+273.15</f>
        <v>298.14999999999998</v>
      </c>
    </row>
    <row r="3" spans="1:26" x14ac:dyDescent="0.3">
      <c r="A3">
        <v>1</v>
      </c>
      <c r="B3" s="2">
        <f t="shared" si="0"/>
        <v>9.7847358121330732</v>
      </c>
      <c r="C3" s="2">
        <f t="shared" si="1"/>
        <v>2.5921301319466838E-3</v>
      </c>
      <c r="D3" s="2">
        <f t="shared" si="2"/>
        <v>112.63310080790671</v>
      </c>
      <c r="E3" s="3">
        <f>D3*9/5 + 32</f>
        <v>234.73958145423208</v>
      </c>
      <c r="F3" cm="1">
        <f t="array" aca="1" ref="F3" ca="1">INDEX($O$2:$O$34,INT(A3/$Z$1)+1)</f>
        <v>250</v>
      </c>
      <c r="G3" cm="1">
        <f t="array" aca="1" ref="G3" ca="1">INDEX($O$2:$O$34,INT(A3/$Z$1)+2)</f>
        <v>145.05341339997875</v>
      </c>
      <c r="H3">
        <f t="shared" ref="H3:H66" ca="1" si="3">(G3-F3)/$Z$1</f>
        <v>-3.279580831250664</v>
      </c>
      <c r="I3">
        <f t="shared" ref="I3:I66" ca="1" si="4">H3*MOD(A3,$Z$1)</f>
        <v>-3.279580831250664</v>
      </c>
      <c r="J3" s="3">
        <f t="shared" ref="J3:J66" ca="1" si="5">F3+I3</f>
        <v>246.72041916874934</v>
      </c>
      <c r="K3" s="3">
        <f t="shared" ref="K3:K66" ca="1" si="6">E3-J3</f>
        <v>-11.980837714517264</v>
      </c>
      <c r="L3" s="3"/>
      <c r="M3">
        <v>1</v>
      </c>
      <c r="N3">
        <v>34</v>
      </c>
      <c r="O3" s="3" cm="1">
        <f t="array" aca="1" ref="O3" ca="1">INDIRECT("E"&amp;N3)</f>
        <v>145.05341339997875</v>
      </c>
      <c r="S3" s="4" t="s">
        <v>1</v>
      </c>
      <c r="T3">
        <v>3950</v>
      </c>
    </row>
    <row r="4" spans="1:26" x14ac:dyDescent="0.3">
      <c r="A4">
        <v>2</v>
      </c>
      <c r="B4" s="2">
        <f t="shared" si="0"/>
        <v>19.588638589618022</v>
      </c>
      <c r="C4" s="2">
        <f t="shared" si="1"/>
        <v>2.6684478912823205E-3</v>
      </c>
      <c r="D4" s="2">
        <f t="shared" si="2"/>
        <v>101.59968249031493</v>
      </c>
      <c r="E4" s="3">
        <f t="shared" ref="E4:E67" si="7">D4*9/5 + 32</f>
        <v>214.87942848256688</v>
      </c>
      <c r="F4" cm="1">
        <f t="array" aca="1" ref="F4" ca="1">INDEX($O$2:$O$34,INT(A4/$Z$1)+1)</f>
        <v>250</v>
      </c>
      <c r="G4" cm="1">
        <f t="array" aca="1" ref="G4" ca="1">INDEX($O$2:$O$34,INT(A4/$Z$1)+2)</f>
        <v>145.05341339997875</v>
      </c>
      <c r="H4">
        <f t="shared" ca="1" si="3"/>
        <v>-3.279580831250664</v>
      </c>
      <c r="I4">
        <f t="shared" ca="1" si="4"/>
        <v>-6.559161662501328</v>
      </c>
      <c r="J4" s="3">
        <f t="shared" ca="1" si="5"/>
        <v>243.44083833749866</v>
      </c>
      <c r="K4" s="3">
        <f t="shared" ca="1" si="6"/>
        <v>-28.561409854931782</v>
      </c>
      <c r="L4" s="3"/>
      <c r="M4">
        <v>2</v>
      </c>
      <c r="N4">
        <v>66</v>
      </c>
      <c r="O4" s="3" cm="1">
        <f t="array" aca="1" ref="O4" ca="1">INDIRECT("E"&amp;N4)</f>
        <v>129.26077113326943</v>
      </c>
    </row>
    <row r="5" spans="1:26" x14ac:dyDescent="0.3">
      <c r="A5">
        <v>3</v>
      </c>
      <c r="B5" s="2">
        <f t="shared" si="0"/>
        <v>29.411764705882351</v>
      </c>
      <c r="C5" s="2">
        <f t="shared" si="1"/>
        <v>2.7131356961888203E-3</v>
      </c>
      <c r="D5" s="2">
        <f t="shared" si="2"/>
        <v>95.427215435525056</v>
      </c>
      <c r="E5" s="3">
        <f t="shared" si="7"/>
        <v>203.76898778394511</v>
      </c>
      <c r="F5" cm="1">
        <f t="array" aca="1" ref="F5" ca="1">INDEX($O$2:$O$34,INT(A5/$Z$1)+1)</f>
        <v>250</v>
      </c>
      <c r="G5" cm="1">
        <f t="array" aca="1" ref="G5" ca="1">INDEX($O$2:$O$34,INT(A5/$Z$1)+2)</f>
        <v>145.05341339997875</v>
      </c>
      <c r="H5">
        <f t="shared" ca="1" si="3"/>
        <v>-3.279580831250664</v>
      </c>
      <c r="I5">
        <f t="shared" ca="1" si="4"/>
        <v>-9.8387424937519921</v>
      </c>
      <c r="J5" s="3">
        <f t="shared" ca="1" si="5"/>
        <v>240.16125750624801</v>
      </c>
      <c r="K5" s="3">
        <f t="shared" ca="1" si="6"/>
        <v>-36.392269722302899</v>
      </c>
      <c r="L5" s="3"/>
      <c r="M5">
        <v>3</v>
      </c>
      <c r="N5">
        <v>98</v>
      </c>
      <c r="O5" s="3" cm="1">
        <f t="array" aca="1" ref="O5" ca="1">INDIRECT("E"&amp;N5)</f>
        <v>120.0965668004326</v>
      </c>
    </row>
    <row r="6" spans="1:26" x14ac:dyDescent="0.3">
      <c r="A6">
        <v>4</v>
      </c>
      <c r="B6" s="2">
        <f t="shared" si="0"/>
        <v>39.254170755642789</v>
      </c>
      <c r="C6" s="2">
        <f t="shared" si="1"/>
        <v>2.744873601091046E-3</v>
      </c>
      <c r="D6" s="2">
        <f t="shared" si="2"/>
        <v>91.165500576243346</v>
      </c>
      <c r="E6" s="3">
        <f t="shared" si="7"/>
        <v>196.09790103723805</v>
      </c>
      <c r="F6" cm="1">
        <f t="array" aca="1" ref="F6" ca="1">INDEX($O$2:$O$34,INT(A6/$Z$1)+1)</f>
        <v>250</v>
      </c>
      <c r="G6" cm="1">
        <f t="array" aca="1" ref="G6" ca="1">INDEX($O$2:$O$34,INT(A6/$Z$1)+2)</f>
        <v>145.05341339997875</v>
      </c>
      <c r="H6">
        <f t="shared" ca="1" si="3"/>
        <v>-3.279580831250664</v>
      </c>
      <c r="I6">
        <f t="shared" ca="1" si="4"/>
        <v>-13.118323325002656</v>
      </c>
      <c r="J6" s="3">
        <f t="shared" ca="1" si="5"/>
        <v>236.88167667499735</v>
      </c>
      <c r="K6" s="3">
        <f t="shared" ca="1" si="6"/>
        <v>-40.783775637759305</v>
      </c>
      <c r="L6" s="3"/>
      <c r="M6">
        <v>4</v>
      </c>
      <c r="N6">
        <v>130</v>
      </c>
      <c r="O6" s="3" cm="1">
        <f t="array" aca="1" ref="O6" ca="1">INDIRECT("E"&amp;N6)</f>
        <v>113.54366028806263</v>
      </c>
    </row>
    <row r="7" spans="1:26" x14ac:dyDescent="0.3">
      <c r="A7">
        <v>5</v>
      </c>
      <c r="B7" s="2">
        <f t="shared" si="0"/>
        <v>49.115913555992144</v>
      </c>
      <c r="C7" s="2">
        <f t="shared" si="1"/>
        <v>2.7695157324869298E-3</v>
      </c>
      <c r="D7" s="2">
        <f t="shared" si="2"/>
        <v>87.923955374152911</v>
      </c>
      <c r="E7" s="3">
        <f t="shared" si="7"/>
        <v>190.26311967347525</v>
      </c>
      <c r="F7" cm="1">
        <f t="array" aca="1" ref="F7" ca="1">INDEX($O$2:$O$34,INT(A7/$Z$1)+1)</f>
        <v>250</v>
      </c>
      <c r="G7" cm="1">
        <f t="array" aca="1" ref="G7" ca="1">INDEX($O$2:$O$34,INT(A7/$Z$1)+2)</f>
        <v>145.05341339997875</v>
      </c>
      <c r="H7">
        <f t="shared" ca="1" si="3"/>
        <v>-3.279580831250664</v>
      </c>
      <c r="I7">
        <f t="shared" ca="1" si="4"/>
        <v>-16.397904156253318</v>
      </c>
      <c r="J7" s="3">
        <f t="shared" ca="1" si="5"/>
        <v>233.60209584374667</v>
      </c>
      <c r="K7" s="3">
        <f t="shared" ca="1" si="6"/>
        <v>-43.338976170271422</v>
      </c>
      <c r="L7" s="3"/>
      <c r="M7">
        <v>5</v>
      </c>
      <c r="N7">
        <v>162</v>
      </c>
      <c r="O7" s="3" cm="1">
        <f t="array" aca="1" ref="O7" ca="1">INDIRECT("E"&amp;N7)</f>
        <v>108.38134904311713</v>
      </c>
    </row>
    <row r="8" spans="1:26" x14ac:dyDescent="0.3">
      <c r="A8">
        <v>6</v>
      </c>
      <c r="B8" s="2">
        <f t="shared" si="0"/>
        <v>58.997050147492622</v>
      </c>
      <c r="C8" s="2">
        <f t="shared" si="1"/>
        <v>2.7896696745440489E-3</v>
      </c>
      <c r="D8" s="2">
        <f t="shared" si="2"/>
        <v>85.315380014371328</v>
      </c>
      <c r="E8" s="3">
        <f t="shared" si="7"/>
        <v>185.5676840258684</v>
      </c>
      <c r="F8" cm="1">
        <f t="array" aca="1" ref="F8" ca="1">INDEX($O$2:$O$34,INT(A8/$Z$1)+1)</f>
        <v>250</v>
      </c>
      <c r="G8" cm="1">
        <f t="array" aca="1" ref="G8" ca="1">INDEX($O$2:$O$34,INT(A8/$Z$1)+2)</f>
        <v>145.05341339997875</v>
      </c>
      <c r="H8">
        <f t="shared" ca="1" si="3"/>
        <v>-3.279580831250664</v>
      </c>
      <c r="I8">
        <f t="shared" ca="1" si="4"/>
        <v>-19.677484987503984</v>
      </c>
      <c r="J8" s="3">
        <f t="shared" ca="1" si="5"/>
        <v>230.32251501249601</v>
      </c>
      <c r="K8" s="3">
        <f t="shared" ca="1" si="6"/>
        <v>-44.75483098662761</v>
      </c>
      <c r="L8" s="3"/>
      <c r="M8">
        <v>6</v>
      </c>
      <c r="N8">
        <v>194</v>
      </c>
      <c r="O8" s="3" cm="1">
        <f t="array" aca="1" ref="O8" ca="1">INDIRECT("E"&amp;N8)</f>
        <v>104.07589976146878</v>
      </c>
    </row>
    <row r="9" spans="1:26" x14ac:dyDescent="0.3">
      <c r="A9">
        <v>7</v>
      </c>
      <c r="B9" s="2">
        <f t="shared" si="0"/>
        <v>68.897637795275585</v>
      </c>
      <c r="C9" s="2">
        <f t="shared" si="1"/>
        <v>2.8067263921656839E-3</v>
      </c>
      <c r="D9" s="2">
        <f t="shared" si="2"/>
        <v>83.136955077368668</v>
      </c>
      <c r="E9" s="3">
        <f t="shared" si="7"/>
        <v>181.6465191392636</v>
      </c>
      <c r="F9" cm="1">
        <f t="array" aca="1" ref="F9" ca="1">INDEX($O$2:$O$34,INT(A9/$Z$1)+1)</f>
        <v>250</v>
      </c>
      <c r="G9" cm="1">
        <f t="array" aca="1" ref="G9" ca="1">INDEX($O$2:$O$34,INT(A9/$Z$1)+2)</f>
        <v>145.05341339997875</v>
      </c>
      <c r="H9">
        <f t="shared" ca="1" si="3"/>
        <v>-3.279580831250664</v>
      </c>
      <c r="I9">
        <f t="shared" ca="1" si="4"/>
        <v>-22.95706581875465</v>
      </c>
      <c r="J9" s="3">
        <f t="shared" ca="1" si="5"/>
        <v>227.04293418124536</v>
      </c>
      <c r="K9" s="3">
        <f t="shared" ca="1" si="6"/>
        <v>-45.396415041981754</v>
      </c>
      <c r="L9" s="3"/>
      <c r="M9">
        <v>7</v>
      </c>
      <c r="N9">
        <v>226</v>
      </c>
      <c r="O9" s="3" cm="1">
        <f t="array" aca="1" ref="O9" ca="1">INDIRECT("E"&amp;N9)</f>
        <v>100.34598547399466</v>
      </c>
    </row>
    <row r="10" spans="1:26" x14ac:dyDescent="0.3">
      <c r="A10">
        <v>8</v>
      </c>
      <c r="B10" s="2">
        <f t="shared" si="0"/>
        <v>78.817733990147786</v>
      </c>
      <c r="C10" s="2">
        <f t="shared" si="1"/>
        <v>2.8215161675267863E-3</v>
      </c>
      <c r="D10" s="2">
        <f t="shared" si="2"/>
        <v>81.269376188283502</v>
      </c>
      <c r="E10" s="3">
        <f t="shared" si="7"/>
        <v>178.2848771389103</v>
      </c>
      <c r="F10" cm="1">
        <f t="array" aca="1" ref="F10" ca="1">INDEX($O$2:$O$34,INT(A10/$Z$1)+1)</f>
        <v>250</v>
      </c>
      <c r="G10" cm="1">
        <f t="array" aca="1" ref="G10" ca="1">INDEX($O$2:$O$34,INT(A10/$Z$1)+2)</f>
        <v>145.05341339997875</v>
      </c>
      <c r="H10">
        <f t="shared" ca="1" si="3"/>
        <v>-3.279580831250664</v>
      </c>
      <c r="I10">
        <f t="shared" ca="1" si="4"/>
        <v>-26.236646650005312</v>
      </c>
      <c r="J10" s="3">
        <f t="shared" ca="1" si="5"/>
        <v>223.7633533499947</v>
      </c>
      <c r="K10" s="3">
        <f t="shared" ca="1" si="6"/>
        <v>-45.478476211084399</v>
      </c>
      <c r="L10" s="3"/>
      <c r="M10">
        <v>8</v>
      </c>
      <c r="N10">
        <v>258</v>
      </c>
      <c r="O10" s="3" cm="1">
        <f t="array" aca="1" ref="O10" ca="1">INDIRECT("E"&amp;N10)</f>
        <v>97.024804270617651</v>
      </c>
    </row>
    <row r="11" spans="1:26" x14ac:dyDescent="0.3">
      <c r="A11">
        <v>9</v>
      </c>
      <c r="B11" s="2">
        <f t="shared" si="0"/>
        <v>88.757396449704146</v>
      </c>
      <c r="C11" s="2">
        <f t="shared" si="1"/>
        <v>2.8345745497291401E-3</v>
      </c>
      <c r="D11" s="2">
        <f t="shared" si="2"/>
        <v>79.636628983018227</v>
      </c>
      <c r="E11" s="3">
        <f t="shared" si="7"/>
        <v>175.34593216943281</v>
      </c>
      <c r="F11" cm="1">
        <f t="array" aca="1" ref="F11" ca="1">INDEX($O$2:$O$34,INT(A11/$Z$1)+1)</f>
        <v>250</v>
      </c>
      <c r="G11" cm="1">
        <f t="array" aca="1" ref="G11" ca="1">INDEX($O$2:$O$34,INT(A11/$Z$1)+2)</f>
        <v>145.05341339997875</v>
      </c>
      <c r="H11">
        <f t="shared" ca="1" si="3"/>
        <v>-3.279580831250664</v>
      </c>
      <c r="I11">
        <f t="shared" ca="1" si="4"/>
        <v>-29.516227481255974</v>
      </c>
      <c r="J11" s="3">
        <f t="shared" ca="1" si="5"/>
        <v>220.48377251874402</v>
      </c>
      <c r="K11" s="3">
        <f t="shared" ca="1" si="6"/>
        <v>-45.137840349311205</v>
      </c>
      <c r="L11" s="3"/>
      <c r="M11">
        <v>9</v>
      </c>
      <c r="N11">
        <v>290</v>
      </c>
      <c r="O11" s="3" cm="1">
        <f t="array" aca="1" ref="O11" ca="1">INDIRECT("E"&amp;N11)</f>
        <v>94.004926908209967</v>
      </c>
    </row>
    <row r="12" spans="1:26" x14ac:dyDescent="0.3">
      <c r="A12">
        <v>10</v>
      </c>
      <c r="B12" s="2">
        <f t="shared" si="0"/>
        <v>98.716683119447183</v>
      </c>
      <c r="C12" s="2">
        <f t="shared" si="1"/>
        <v>2.8462672080070417E-3</v>
      </c>
      <c r="D12" s="2">
        <f t="shared" si="2"/>
        <v>78.18735764050092</v>
      </c>
      <c r="E12" s="3">
        <f t="shared" si="7"/>
        <v>172.73724375290166</v>
      </c>
      <c r="F12" cm="1">
        <f t="array" aca="1" ref="F12" ca="1">INDEX($O$2:$O$34,INT(A12/$Z$1)+1)</f>
        <v>250</v>
      </c>
      <c r="G12" cm="1">
        <f t="array" aca="1" ref="G12" ca="1">INDEX($O$2:$O$34,INT(A12/$Z$1)+2)</f>
        <v>145.05341339997875</v>
      </c>
      <c r="H12">
        <f t="shared" ca="1" si="3"/>
        <v>-3.279580831250664</v>
      </c>
      <c r="I12">
        <f t="shared" ca="1" si="4"/>
        <v>-32.795808312506637</v>
      </c>
      <c r="J12" s="3">
        <f t="shared" ca="1" si="5"/>
        <v>217.20419168749336</v>
      </c>
      <c r="K12" s="3">
        <f t="shared" ca="1" si="6"/>
        <v>-44.466947934591701</v>
      </c>
      <c r="L12" s="3"/>
      <c r="M12">
        <v>10</v>
      </c>
      <c r="N12">
        <v>322</v>
      </c>
      <c r="O12" s="3" cm="1">
        <f t="array" aca="1" ref="O12" ca="1">INDIRECT("E"&amp;N12)</f>
        <v>91.212670263865533</v>
      </c>
    </row>
    <row r="13" spans="1:26" x14ac:dyDescent="0.3">
      <c r="A13">
        <v>11</v>
      </c>
      <c r="B13" s="2">
        <f t="shared" si="0"/>
        <v>108.69565217391305</v>
      </c>
      <c r="C13" s="2">
        <f t="shared" si="1"/>
        <v>2.8568549594031748E-3</v>
      </c>
      <c r="D13" s="2">
        <f t="shared" si="2"/>
        <v>76.885271027168244</v>
      </c>
      <c r="E13" s="3">
        <f t="shared" si="7"/>
        <v>170.39348784890285</v>
      </c>
      <c r="F13" cm="1">
        <f t="array" aca="1" ref="F13" ca="1">INDEX($O$2:$O$34,INT(A13/$Z$1)+1)</f>
        <v>250</v>
      </c>
      <c r="G13" cm="1">
        <f t="array" aca="1" ref="G13" ca="1">INDEX($O$2:$O$34,INT(A13/$Z$1)+2)</f>
        <v>145.05341339997875</v>
      </c>
      <c r="H13">
        <f t="shared" ca="1" si="3"/>
        <v>-3.279580831250664</v>
      </c>
      <c r="I13">
        <f t="shared" ca="1" si="4"/>
        <v>-36.075389143757306</v>
      </c>
      <c r="J13" s="3">
        <f t="shared" ca="1" si="5"/>
        <v>213.92461085624268</v>
      </c>
      <c r="K13" s="3">
        <f t="shared" ca="1" si="6"/>
        <v>-43.531123007339829</v>
      </c>
      <c r="L13" s="3"/>
      <c r="M13">
        <v>11</v>
      </c>
      <c r="N13">
        <v>354</v>
      </c>
      <c r="O13" s="3" cm="1">
        <f t="array" aca="1" ref="O13" ca="1">INDIRECT("E"&amp;N13)</f>
        <v>88.594847157959862</v>
      </c>
    </row>
    <row r="14" spans="1:26" x14ac:dyDescent="0.3">
      <c r="A14">
        <v>12</v>
      </c>
      <c r="B14" s="2">
        <f t="shared" si="0"/>
        <v>118.69436201780415</v>
      </c>
      <c r="C14" s="2">
        <f t="shared" si="1"/>
        <v>2.8665303816315744E-3</v>
      </c>
      <c r="D14" s="2">
        <f t="shared" si="2"/>
        <v>75.703794262183635</v>
      </c>
      <c r="E14" s="3">
        <f t="shared" si="7"/>
        <v>168.26682967193057</v>
      </c>
      <c r="F14" cm="1">
        <f t="array" aca="1" ref="F14" ca="1">INDEX($O$2:$O$34,INT(A14/$Z$1)+1)</f>
        <v>250</v>
      </c>
      <c r="G14" cm="1">
        <f t="array" aca="1" ref="G14" ca="1">INDEX($O$2:$O$34,INT(A14/$Z$1)+2)</f>
        <v>145.05341339997875</v>
      </c>
      <c r="H14">
        <f t="shared" ca="1" si="3"/>
        <v>-3.279580831250664</v>
      </c>
      <c r="I14">
        <f t="shared" ca="1" si="4"/>
        <v>-39.354969975007968</v>
      </c>
      <c r="J14" s="3">
        <f t="shared" ca="1" si="5"/>
        <v>210.64503002499202</v>
      </c>
      <c r="K14" s="3">
        <f t="shared" ca="1" si="6"/>
        <v>-42.378200353061459</v>
      </c>
      <c r="L14" s="3"/>
      <c r="M14">
        <v>12</v>
      </c>
      <c r="N14">
        <v>386</v>
      </c>
      <c r="O14" s="3" cm="1">
        <f t="array" aca="1" ref="O14" ca="1">INDIRECT("E"&amp;N14)</f>
        <v>86.111332469210851</v>
      </c>
    </row>
    <row r="15" spans="1:26" x14ac:dyDescent="0.3">
      <c r="A15">
        <v>13</v>
      </c>
      <c r="B15" s="2">
        <f t="shared" si="0"/>
        <v>128.71287128712871</v>
      </c>
      <c r="C15" s="2">
        <f t="shared" si="1"/>
        <v>2.875439720382858E-3</v>
      </c>
      <c r="D15" s="2">
        <f t="shared" si="2"/>
        <v>74.622896406554617</v>
      </c>
      <c r="E15" s="3">
        <f t="shared" si="7"/>
        <v>166.32121353179832</v>
      </c>
      <c r="F15" cm="1">
        <f t="array" aca="1" ref="F15" ca="1">INDEX($O$2:$O$34,INT(A15/$Z$1)+1)</f>
        <v>250</v>
      </c>
      <c r="G15" cm="1">
        <f t="array" aca="1" ref="G15" ca="1">INDEX($O$2:$O$34,INT(A15/$Z$1)+2)</f>
        <v>145.05341339997875</v>
      </c>
      <c r="H15">
        <f t="shared" ca="1" si="3"/>
        <v>-3.279580831250664</v>
      </c>
      <c r="I15">
        <f t="shared" ca="1" si="4"/>
        <v>-42.63455080625863</v>
      </c>
      <c r="J15" s="3">
        <f t="shared" ca="1" si="5"/>
        <v>207.36544919374137</v>
      </c>
      <c r="K15" s="3">
        <f t="shared" ca="1" si="6"/>
        <v>-41.044235661943048</v>
      </c>
      <c r="L15" s="3"/>
      <c r="M15">
        <v>13</v>
      </c>
      <c r="N15">
        <v>418</v>
      </c>
      <c r="O15" s="3" cm="1">
        <f t="array" aca="1" ref="O15" ca="1">INDIRECT("E"&amp;N15)</f>
        <v>83.730605534482365</v>
      </c>
    </row>
    <row r="16" spans="1:26" x14ac:dyDescent="0.3">
      <c r="A16">
        <v>14</v>
      </c>
      <c r="B16" s="2">
        <f t="shared" si="0"/>
        <v>138.75123885034688</v>
      </c>
      <c r="C16" s="2">
        <f t="shared" si="1"/>
        <v>2.8836966547922589E-3</v>
      </c>
      <c r="D16" s="2">
        <f t="shared" si="2"/>
        <v>73.627112751493598</v>
      </c>
      <c r="E16" s="3">
        <f t="shared" si="7"/>
        <v>164.52880295268847</v>
      </c>
      <c r="F16" cm="1">
        <f t="array" aca="1" ref="F16" ca="1">INDEX($O$2:$O$34,INT(A16/$Z$1)+1)</f>
        <v>250</v>
      </c>
      <c r="G16" cm="1">
        <f t="array" aca="1" ref="G16" ca="1">INDEX($O$2:$O$34,INT(A16/$Z$1)+2)</f>
        <v>145.05341339997875</v>
      </c>
      <c r="H16">
        <f t="shared" ca="1" si="3"/>
        <v>-3.279580831250664</v>
      </c>
      <c r="I16">
        <f t="shared" ca="1" si="4"/>
        <v>-45.9141316375093</v>
      </c>
      <c r="J16" s="3">
        <f t="shared" ca="1" si="5"/>
        <v>204.08586836249071</v>
      </c>
      <c r="K16" s="3">
        <f t="shared" ca="1" si="6"/>
        <v>-39.557065409802249</v>
      </c>
      <c r="L16" s="3"/>
      <c r="M16">
        <v>14</v>
      </c>
      <c r="N16">
        <v>450</v>
      </c>
      <c r="O16" s="3" cm="1">
        <f t="array" aca="1" ref="O16" ca="1">INDIRECT("E"&amp;N16)</f>
        <v>81.426916341558666</v>
      </c>
    </row>
    <row r="17" spans="1:15" x14ac:dyDescent="0.3">
      <c r="A17">
        <v>15</v>
      </c>
      <c r="B17" s="2">
        <f t="shared" si="0"/>
        <v>148.8095238095238</v>
      </c>
      <c r="C17" s="2">
        <f t="shared" si="1"/>
        <v>2.8913913022618402E-3</v>
      </c>
      <c r="D17" s="2">
        <f t="shared" si="2"/>
        <v>72.704260271770522</v>
      </c>
      <c r="E17" s="3">
        <f t="shared" si="7"/>
        <v>162.86766848918694</v>
      </c>
      <c r="F17" cm="1">
        <f t="array" aca="1" ref="F17" ca="1">INDEX($O$2:$O$34,INT(A17/$Z$1)+1)</f>
        <v>250</v>
      </c>
      <c r="G17" cm="1">
        <f t="array" aca="1" ref="G17" ca="1">INDEX($O$2:$O$34,INT(A17/$Z$1)+2)</f>
        <v>145.05341339997875</v>
      </c>
      <c r="H17">
        <f t="shared" ca="1" si="3"/>
        <v>-3.279580831250664</v>
      </c>
      <c r="I17">
        <f t="shared" ca="1" si="4"/>
        <v>-49.193712468759962</v>
      </c>
      <c r="J17" s="3">
        <f t="shared" ca="1" si="5"/>
        <v>200.80628753124003</v>
      </c>
      <c r="K17" s="3">
        <f t="shared" ca="1" si="6"/>
        <v>-37.938619042053091</v>
      </c>
      <c r="L17" s="3"/>
      <c r="M17">
        <v>15</v>
      </c>
      <c r="N17">
        <v>482</v>
      </c>
      <c r="O17" s="3" cm="1">
        <f t="array" aca="1" ref="O17" ca="1">INDIRECT("E"&amp;N17)</f>
        <v>79.17837905124243</v>
      </c>
    </row>
    <row r="18" spans="1:15" x14ac:dyDescent="0.3">
      <c r="A18">
        <v>16</v>
      </c>
      <c r="B18" s="2">
        <f t="shared" si="0"/>
        <v>158.88778550148956</v>
      </c>
      <c r="C18" s="2">
        <f t="shared" si="1"/>
        <v>2.8985963111621271E-3</v>
      </c>
      <c r="D18" s="2">
        <f t="shared" si="2"/>
        <v>71.844574149262087</v>
      </c>
      <c r="E18" s="3">
        <f t="shared" si="7"/>
        <v>161.32023346867177</v>
      </c>
      <c r="F18" cm="1">
        <f t="array" aca="1" ref="F18" ca="1">INDEX($O$2:$O$34,INT(A18/$Z$1)+1)</f>
        <v>250</v>
      </c>
      <c r="G18" cm="1">
        <f t="array" aca="1" ref="G18" ca="1">INDEX($O$2:$O$34,INT(A18/$Z$1)+2)</f>
        <v>145.05341339997875</v>
      </c>
      <c r="H18">
        <f t="shared" ca="1" si="3"/>
        <v>-3.279580831250664</v>
      </c>
      <c r="I18">
        <f t="shared" ca="1" si="4"/>
        <v>-52.473293300010624</v>
      </c>
      <c r="J18" s="3">
        <f t="shared" ca="1" si="5"/>
        <v>197.52670669998938</v>
      </c>
      <c r="K18" s="3">
        <f t="shared" ca="1" si="6"/>
        <v>-36.206473231317602</v>
      </c>
      <c r="L18" s="3"/>
      <c r="M18">
        <v>16</v>
      </c>
      <c r="N18">
        <v>514</v>
      </c>
      <c r="O18" s="3" cm="1">
        <f t="array" aca="1" ref="O18" ca="1">INDIRECT("E"&amp;N18)</f>
        <v>76.965608112121529</v>
      </c>
    </row>
    <row r="19" spans="1:15" x14ac:dyDescent="0.3">
      <c r="A19">
        <v>17</v>
      </c>
      <c r="B19" s="2">
        <f t="shared" si="0"/>
        <v>168.98608349900596</v>
      </c>
      <c r="C19" s="2">
        <f t="shared" si="1"/>
        <v>2.9053711032016355E-3</v>
      </c>
      <c r="D19" s="2">
        <f t="shared" si="2"/>
        <v>71.040110137059173</v>
      </c>
      <c r="E19" s="3">
        <f t="shared" si="7"/>
        <v>159.87219824670652</v>
      </c>
      <c r="F19" cm="1">
        <f t="array" aca="1" ref="F19" ca="1">INDEX($O$2:$O$34,INT(A19/$Z$1)+1)</f>
        <v>250</v>
      </c>
      <c r="G19" cm="1">
        <f t="array" aca="1" ref="G19" ca="1">INDEX($O$2:$O$34,INT(A19/$Z$1)+2)</f>
        <v>145.05341339997875</v>
      </c>
      <c r="H19">
        <f t="shared" ca="1" si="3"/>
        <v>-3.279580831250664</v>
      </c>
      <c r="I19">
        <f t="shared" ca="1" si="4"/>
        <v>-55.752874131261287</v>
      </c>
      <c r="J19" s="3">
        <f t="shared" ca="1" si="5"/>
        <v>194.24712586873872</v>
      </c>
      <c r="K19" s="3">
        <f t="shared" ca="1" si="6"/>
        <v>-34.374927622032203</v>
      </c>
      <c r="L19" s="3"/>
      <c r="M19">
        <v>17</v>
      </c>
      <c r="N19">
        <v>546</v>
      </c>
      <c r="O19" s="3" cm="1">
        <f t="array" aca="1" ref="O19" ca="1">INDIRECT("E"&amp;N19)</f>
        <v>74.77066820864691</v>
      </c>
    </row>
    <row r="20" spans="1:15" x14ac:dyDescent="0.3">
      <c r="A20">
        <v>18</v>
      </c>
      <c r="B20" s="2">
        <f t="shared" si="0"/>
        <v>179.1044776119403</v>
      </c>
      <c r="C20" s="2">
        <f t="shared" si="1"/>
        <v>2.911764901350606E-3</v>
      </c>
      <c r="D20" s="2">
        <f t="shared" si="2"/>
        <v>70.284320379422013</v>
      </c>
      <c r="E20" s="3">
        <f t="shared" si="7"/>
        <v>158.51177668295963</v>
      </c>
      <c r="F20" cm="1">
        <f t="array" aca="1" ref="F20" ca="1">INDEX($O$2:$O$34,INT(A20/$Z$1)+1)</f>
        <v>250</v>
      </c>
      <c r="G20" cm="1">
        <f t="array" aca="1" ref="G20" ca="1">INDEX($O$2:$O$34,INT(A20/$Z$1)+2)</f>
        <v>145.05341339997875</v>
      </c>
      <c r="H20">
        <f t="shared" ca="1" si="3"/>
        <v>-3.279580831250664</v>
      </c>
      <c r="I20">
        <f t="shared" ca="1" si="4"/>
        <v>-59.032454962511949</v>
      </c>
      <c r="J20" s="3">
        <f t="shared" ca="1" si="5"/>
        <v>190.96754503748804</v>
      </c>
      <c r="K20" s="3">
        <f t="shared" ca="1" si="6"/>
        <v>-32.455768354528402</v>
      </c>
      <c r="L20" s="3"/>
      <c r="M20">
        <v>18</v>
      </c>
      <c r="N20">
        <v>578</v>
      </c>
      <c r="O20" s="3" cm="1">
        <f t="array" aca="1" ref="O20" ca="1">INDIRECT("E"&amp;N20)</f>
        <v>72.576188587143719</v>
      </c>
    </row>
    <row r="21" spans="1:15" x14ac:dyDescent="0.3">
      <c r="A21">
        <v>19</v>
      </c>
      <c r="B21" s="2">
        <f t="shared" si="0"/>
        <v>189.24302788844622</v>
      </c>
      <c r="C21" s="2">
        <f t="shared" si="1"/>
        <v>2.9178189380080818E-3</v>
      </c>
      <c r="D21" s="2">
        <f t="shared" si="2"/>
        <v>69.571745675786758</v>
      </c>
      <c r="E21" s="3">
        <f t="shared" si="7"/>
        <v>157.22914221641616</v>
      </c>
      <c r="F21" cm="1">
        <f t="array" aca="1" ref="F21" ca="1">INDEX($O$2:$O$34,INT(A21/$Z$1)+1)</f>
        <v>250</v>
      </c>
      <c r="G21" cm="1">
        <f t="array" aca="1" ref="G21" ca="1">INDEX($O$2:$O$34,INT(A21/$Z$1)+2)</f>
        <v>145.05341339997875</v>
      </c>
      <c r="H21">
        <f t="shared" ca="1" si="3"/>
        <v>-3.279580831250664</v>
      </c>
      <c r="I21">
        <f t="shared" ca="1" si="4"/>
        <v>-62.312035793762618</v>
      </c>
      <c r="J21" s="3">
        <f t="shared" ca="1" si="5"/>
        <v>187.68796420623738</v>
      </c>
      <c r="K21" s="3">
        <f t="shared" ca="1" si="6"/>
        <v>-30.458821989821217</v>
      </c>
      <c r="L21" s="3"/>
      <c r="M21">
        <v>19</v>
      </c>
      <c r="N21">
        <v>610</v>
      </c>
      <c r="O21" s="3" cm="1">
        <f t="array" aca="1" ref="O21" ca="1">INDIRECT("E"&amp;N21)</f>
        <v>70.364529642824778</v>
      </c>
    </row>
    <row r="22" spans="1:15" x14ac:dyDescent="0.3">
      <c r="A22">
        <v>20</v>
      </c>
      <c r="B22" s="2">
        <f t="shared" si="0"/>
        <v>199.40179461615153</v>
      </c>
      <c r="C22" s="2">
        <f t="shared" si="1"/>
        <v>2.9235680961092803E-3</v>
      </c>
      <c r="D22" s="2">
        <f t="shared" si="2"/>
        <v>68.897787883173351</v>
      </c>
      <c r="E22" s="3">
        <f t="shared" si="7"/>
        <v>156.01601818971204</v>
      </c>
      <c r="F22" cm="1">
        <f t="array" aca="1" ref="F22" ca="1">INDEX($O$2:$O$34,INT(A22/$Z$1)+1)</f>
        <v>250</v>
      </c>
      <c r="G22" cm="1">
        <f t="array" aca="1" ref="G22" ca="1">INDEX($O$2:$O$34,INT(A22/$Z$1)+2)</f>
        <v>145.05341339997875</v>
      </c>
      <c r="H22">
        <f t="shared" ca="1" si="3"/>
        <v>-3.279580831250664</v>
      </c>
      <c r="I22">
        <f t="shared" ca="1" si="4"/>
        <v>-65.591616625013273</v>
      </c>
      <c r="J22" s="3">
        <f t="shared" ca="1" si="5"/>
        <v>184.40838337498673</v>
      </c>
      <c r="K22" s="3">
        <f t="shared" ca="1" si="6"/>
        <v>-28.392365185274684</v>
      </c>
      <c r="L22" s="3"/>
      <c r="M22">
        <v>20</v>
      </c>
      <c r="N22">
        <v>642</v>
      </c>
      <c r="O22" s="3" cm="1">
        <f t="array" aca="1" ref="O22" ca="1">INDIRECT("E"&amp;N22)</f>
        <v>68.116899560530953</v>
      </c>
    </row>
    <row r="23" spans="1:15" x14ac:dyDescent="0.3">
      <c r="A23">
        <v>21</v>
      </c>
      <c r="B23" s="2">
        <f t="shared" si="0"/>
        <v>209.5808383233533</v>
      </c>
      <c r="C23" s="2">
        <f t="shared" si="1"/>
        <v>2.9290421494153891E-3</v>
      </c>
      <c r="D23" s="2">
        <f t="shared" si="2"/>
        <v>68.258538692279046</v>
      </c>
      <c r="E23" s="3">
        <f t="shared" si="7"/>
        <v>154.86536964610227</v>
      </c>
      <c r="F23" cm="1">
        <f t="array" aca="1" ref="F23" ca="1">INDEX($O$2:$O$34,INT(A23/$Z$1)+1)</f>
        <v>250</v>
      </c>
      <c r="G23" cm="1">
        <f t="array" aca="1" ref="G23" ca="1">INDEX($O$2:$O$34,INT(A23/$Z$1)+2)</f>
        <v>145.05341339997875</v>
      </c>
      <c r="H23">
        <f t="shared" ca="1" si="3"/>
        <v>-3.279580831250664</v>
      </c>
      <c r="I23">
        <f t="shared" ca="1" si="4"/>
        <v>-68.871197456263943</v>
      </c>
      <c r="J23" s="3">
        <f t="shared" ca="1" si="5"/>
        <v>181.12880254373607</v>
      </c>
      <c r="K23" s="3">
        <f t="shared" ca="1" si="6"/>
        <v>-26.263432897633805</v>
      </c>
      <c r="L23" s="3"/>
      <c r="M23">
        <v>21</v>
      </c>
      <c r="N23">
        <v>674</v>
      </c>
      <c r="O23" s="3" cm="1">
        <f t="array" aca="1" ref="O23" ca="1">INDIRECT("E"&amp;N23)</f>
        <v>65.81230453754813</v>
      </c>
    </row>
    <row r="24" spans="1:15" x14ac:dyDescent="0.3">
      <c r="A24">
        <v>22</v>
      </c>
      <c r="B24" s="2">
        <f t="shared" si="0"/>
        <v>219.78021978021977</v>
      </c>
      <c r="C24" s="2">
        <f t="shared" si="1"/>
        <v>2.9342667140078438E-3</v>
      </c>
      <c r="D24" s="2">
        <f t="shared" si="2"/>
        <v>67.650648838811378</v>
      </c>
      <c r="E24" s="3">
        <f t="shared" si="7"/>
        <v>153.77116790986048</v>
      </c>
      <c r="F24" cm="1">
        <f t="array" aca="1" ref="F24" ca="1">INDEX($O$2:$O$34,INT(A24/$Z$1)+1)</f>
        <v>250</v>
      </c>
      <c r="G24" cm="1">
        <f t="array" aca="1" ref="G24" ca="1">INDEX($O$2:$O$34,INT(A24/$Z$1)+2)</f>
        <v>145.05341339997875</v>
      </c>
      <c r="H24">
        <f t="shared" ca="1" si="3"/>
        <v>-3.279580831250664</v>
      </c>
      <c r="I24">
        <f t="shared" ca="1" si="4"/>
        <v>-72.150778287514612</v>
      </c>
      <c r="J24" s="3">
        <f t="shared" ca="1" si="5"/>
        <v>177.84922171248539</v>
      </c>
      <c r="K24" s="3">
        <f t="shared" ca="1" si="6"/>
        <v>-24.078053802624908</v>
      </c>
      <c r="L24" s="3"/>
      <c r="M24">
        <v>22</v>
      </c>
      <c r="N24">
        <v>706</v>
      </c>
      <c r="O24" s="3" cm="1">
        <f t="array" aca="1" ref="O24" ca="1">INDIRECT("E"&amp;N24)</f>
        <v>63.426171335778726</v>
      </c>
    </row>
    <row r="25" spans="1:15" x14ac:dyDescent="0.3">
      <c r="A25">
        <v>23</v>
      </c>
      <c r="B25" s="2">
        <f t="shared" si="0"/>
        <v>230</v>
      </c>
      <c r="C25" s="2">
        <f t="shared" si="1"/>
        <v>2.9392639881027057E-3</v>
      </c>
      <c r="D25" s="2">
        <f t="shared" si="2"/>
        <v>67.071226826753957</v>
      </c>
      <c r="E25" s="3">
        <f t="shared" si="7"/>
        <v>152.72820828815711</v>
      </c>
      <c r="F25" cm="1">
        <f t="array" aca="1" ref="F25" ca="1">INDEX($O$2:$O$34,INT(A25/$Z$1)+1)</f>
        <v>250</v>
      </c>
      <c r="G25" cm="1">
        <f t="array" aca="1" ref="G25" ca="1">INDEX($O$2:$O$34,INT(A25/$Z$1)+2)</f>
        <v>145.05341339997875</v>
      </c>
      <c r="H25">
        <f t="shared" ca="1" si="3"/>
        <v>-3.279580831250664</v>
      </c>
      <c r="I25">
        <f t="shared" ca="1" si="4"/>
        <v>-75.430359118765267</v>
      </c>
      <c r="J25" s="3">
        <f t="shared" ca="1" si="5"/>
        <v>174.56964088123473</v>
      </c>
      <c r="K25" s="3">
        <f t="shared" ca="1" si="6"/>
        <v>-21.841432593077627</v>
      </c>
      <c r="L25" s="3"/>
      <c r="M25">
        <v>23</v>
      </c>
      <c r="N25">
        <v>738</v>
      </c>
      <c r="O25" s="3" cm="1">
        <f t="array" aca="1" ref="O25" ca="1">INDIRECT("E"&amp;N25)</f>
        <v>60.928385450259839</v>
      </c>
    </row>
    <row r="26" spans="1:15" x14ac:dyDescent="0.3">
      <c r="A26">
        <v>24</v>
      </c>
      <c r="B26" s="2">
        <f t="shared" si="0"/>
        <v>240.24024024024024</v>
      </c>
      <c r="C26" s="2">
        <f t="shared" si="1"/>
        <v>2.9440533342971441E-3</v>
      </c>
      <c r="D26" s="2">
        <f t="shared" si="2"/>
        <v>66.517759530836599</v>
      </c>
      <c r="E26" s="3">
        <f t="shared" si="7"/>
        <v>151.73196715550588</v>
      </c>
      <c r="F26" cm="1">
        <f t="array" aca="1" ref="F26" ca="1">INDEX($O$2:$O$34,INT(A26/$Z$1)+1)</f>
        <v>250</v>
      </c>
      <c r="G26" cm="1">
        <f t="array" aca="1" ref="G26" ca="1">INDEX($O$2:$O$34,INT(A26/$Z$1)+2)</f>
        <v>145.05341339997875</v>
      </c>
      <c r="H26">
        <f t="shared" ca="1" si="3"/>
        <v>-3.279580831250664</v>
      </c>
      <c r="I26">
        <f t="shared" ca="1" si="4"/>
        <v>-78.709939950015936</v>
      </c>
      <c r="J26" s="3">
        <f t="shared" ca="1" si="5"/>
        <v>171.29006004998405</v>
      </c>
      <c r="K26" s="3">
        <f t="shared" ca="1" si="6"/>
        <v>-19.558092894478165</v>
      </c>
      <c r="L26" s="3"/>
      <c r="M26">
        <v>24</v>
      </c>
      <c r="N26">
        <v>770</v>
      </c>
      <c r="O26" s="3" cm="1">
        <f t="array" aca="1" ref="O26" ca="1">INDIRECT("E"&amp;N26)</f>
        <v>58.280293853851425</v>
      </c>
    </row>
    <row r="27" spans="1:15" x14ac:dyDescent="0.3">
      <c r="A27">
        <v>25</v>
      </c>
      <c r="B27" s="2">
        <f t="shared" si="0"/>
        <v>250.50100200400803</v>
      </c>
      <c r="C27" s="2">
        <f t="shared" si="1"/>
        <v>2.9486517428791801E-3</v>
      </c>
      <c r="D27" s="2">
        <f t="shared" si="2"/>
        <v>65.988049250794404</v>
      </c>
      <c r="E27" s="3">
        <f t="shared" si="7"/>
        <v>150.77848865142991</v>
      </c>
      <c r="F27" cm="1">
        <f t="array" aca="1" ref="F27" ca="1">INDEX($O$2:$O$34,INT(A27/$Z$1)+1)</f>
        <v>250</v>
      </c>
      <c r="G27" cm="1">
        <f t="array" aca="1" ref="G27" ca="1">INDEX($O$2:$O$34,INT(A27/$Z$1)+2)</f>
        <v>145.05341339997875</v>
      </c>
      <c r="H27">
        <f t="shared" ca="1" si="3"/>
        <v>-3.279580831250664</v>
      </c>
      <c r="I27">
        <f t="shared" ca="1" si="4"/>
        <v>-81.989520781266606</v>
      </c>
      <c r="J27" s="3">
        <f t="shared" ca="1" si="5"/>
        <v>168.01047921873339</v>
      </c>
      <c r="K27" s="3">
        <f t="shared" ca="1" si="6"/>
        <v>-17.231990567303484</v>
      </c>
      <c r="L27" s="3"/>
      <c r="M27">
        <v>25</v>
      </c>
      <c r="N27">
        <v>802</v>
      </c>
      <c r="O27" s="3" cm="1">
        <f t="array" aca="1" ref="O27" ca="1">INDIRECT("E"&amp;N27)</f>
        <v>55.429812645374284</v>
      </c>
    </row>
    <row r="28" spans="1:15" x14ac:dyDescent="0.3">
      <c r="A28">
        <v>26</v>
      </c>
      <c r="B28" s="2">
        <f t="shared" si="0"/>
        <v>260.78234704112339</v>
      </c>
      <c r="C28" s="2">
        <f t="shared" si="1"/>
        <v>2.9530742042144956E-3</v>
      </c>
      <c r="D28" s="2">
        <f t="shared" si="2"/>
        <v>65.480163296555418</v>
      </c>
      <c r="E28" s="3">
        <f t="shared" si="7"/>
        <v>149.86429393379976</v>
      </c>
      <c r="F28" cm="1">
        <f t="array" aca="1" ref="F28" ca="1">INDEX($O$2:$O$34,INT(A28/$Z$1)+1)</f>
        <v>250</v>
      </c>
      <c r="G28" cm="1">
        <f t="array" aca="1" ref="G28" ca="1">INDEX($O$2:$O$34,INT(A28/$Z$1)+2)</f>
        <v>145.05341339997875</v>
      </c>
      <c r="H28">
        <f t="shared" ca="1" si="3"/>
        <v>-3.279580831250664</v>
      </c>
      <c r="I28">
        <f t="shared" ca="1" si="4"/>
        <v>-85.269101612517261</v>
      </c>
      <c r="J28" s="3">
        <f t="shared" ca="1" si="5"/>
        <v>164.73089838748274</v>
      </c>
      <c r="K28" s="3">
        <f t="shared" ca="1" si="6"/>
        <v>-14.866604453682982</v>
      </c>
      <c r="L28" s="3"/>
      <c r="M28">
        <v>26</v>
      </c>
      <c r="N28">
        <v>834</v>
      </c>
      <c r="O28" s="3" cm="1">
        <f t="array" aca="1" ref="O28" ca="1">INDIRECT("E"&amp;N28)</f>
        <v>52.302860647880969</v>
      </c>
    </row>
    <row r="29" spans="1:15" x14ac:dyDescent="0.3">
      <c r="A29">
        <v>27</v>
      </c>
      <c r="B29" s="2">
        <f t="shared" si="0"/>
        <v>271.08433734939757</v>
      </c>
      <c r="C29" s="2">
        <f t="shared" si="1"/>
        <v>2.9573340108160462E-3</v>
      </c>
      <c r="D29" s="2">
        <f t="shared" si="2"/>
        <v>64.992393230739708</v>
      </c>
      <c r="E29" s="3">
        <f t="shared" si="7"/>
        <v>148.98630781533149</v>
      </c>
      <c r="F29" cm="1">
        <f t="array" aca="1" ref="F29" ca="1">INDEX($O$2:$O$34,INT(A29/$Z$1)+1)</f>
        <v>250</v>
      </c>
      <c r="G29" cm="1">
        <f t="array" aca="1" ref="G29" ca="1">INDEX($O$2:$O$34,INT(A29/$Z$1)+2)</f>
        <v>145.05341339997875</v>
      </c>
      <c r="H29">
        <f t="shared" ca="1" si="3"/>
        <v>-3.279580831250664</v>
      </c>
      <c r="I29">
        <f t="shared" ca="1" si="4"/>
        <v>-88.54868244376793</v>
      </c>
      <c r="J29" s="3">
        <f t="shared" ca="1" si="5"/>
        <v>161.45131755623208</v>
      </c>
      <c r="K29" s="3">
        <f t="shared" ca="1" si="6"/>
        <v>-12.465009740900598</v>
      </c>
      <c r="L29" s="3"/>
      <c r="M29">
        <v>27</v>
      </c>
      <c r="N29">
        <v>866</v>
      </c>
      <c r="O29" s="3" cm="1">
        <f t="array" aca="1" ref="O29" ca="1">INDIRECT("E"&amp;N29)</f>
        <v>48.787066441536446</v>
      </c>
    </row>
    <row r="30" spans="1:15" x14ac:dyDescent="0.3">
      <c r="A30">
        <v>28</v>
      </c>
      <c r="B30" s="2">
        <f t="shared" si="0"/>
        <v>281.4070351758794</v>
      </c>
      <c r="C30" s="2">
        <f t="shared" si="1"/>
        <v>2.9614430044517946E-3</v>
      </c>
      <c r="D30" s="2">
        <f t="shared" si="2"/>
        <v>64.523221634435743</v>
      </c>
      <c r="E30" s="3">
        <f t="shared" si="7"/>
        <v>148.14179894198432</v>
      </c>
      <c r="F30" cm="1">
        <f t="array" aca="1" ref="F30" ca="1">INDEX($O$2:$O$34,INT(A30/$Z$1)+1)</f>
        <v>250</v>
      </c>
      <c r="G30" cm="1">
        <f t="array" aca="1" ref="G30" ca="1">INDEX($O$2:$O$34,INT(A30/$Z$1)+2)</f>
        <v>145.05341339997875</v>
      </c>
      <c r="H30">
        <f t="shared" ca="1" si="3"/>
        <v>-3.279580831250664</v>
      </c>
      <c r="I30">
        <f t="shared" ca="1" si="4"/>
        <v>-91.8282632750186</v>
      </c>
      <c r="J30" s="3">
        <f t="shared" ca="1" si="5"/>
        <v>158.1717367249814</v>
      </c>
      <c r="K30" s="3">
        <f t="shared" ca="1" si="6"/>
        <v>-10.029937782997081</v>
      </c>
      <c r="L30" s="3"/>
      <c r="M30">
        <v>28</v>
      </c>
      <c r="N30">
        <v>898</v>
      </c>
      <c r="O30" s="3" cm="1">
        <f t="array" aca="1" ref="O30" ca="1">INDIRECT("E"&amp;N30)</f>
        <v>44.697309950495971</v>
      </c>
    </row>
    <row r="31" spans="1:15" x14ac:dyDescent="0.3">
      <c r="A31">
        <v>29</v>
      </c>
      <c r="B31" s="2">
        <f t="shared" si="0"/>
        <v>291.75050301810865</v>
      </c>
      <c r="C31" s="2">
        <f t="shared" si="1"/>
        <v>2.9654117798708197E-3</v>
      </c>
      <c r="D31" s="2">
        <f t="shared" si="2"/>
        <v>64.071294792172978</v>
      </c>
      <c r="E31" s="3">
        <f t="shared" si="7"/>
        <v>147.32833062591135</v>
      </c>
      <c r="F31" cm="1">
        <f t="array" aca="1" ref="F31" ca="1">INDEX($O$2:$O$34,INT(A31/$Z$1)+1)</f>
        <v>250</v>
      </c>
      <c r="G31" cm="1">
        <f t="array" aca="1" ref="G31" ca="1">INDEX($O$2:$O$34,INT(A31/$Z$1)+2)</f>
        <v>145.05341339997875</v>
      </c>
      <c r="H31">
        <f t="shared" ca="1" si="3"/>
        <v>-3.279580831250664</v>
      </c>
      <c r="I31">
        <f t="shared" ca="1" si="4"/>
        <v>-95.107844106269255</v>
      </c>
      <c r="J31" s="3">
        <f t="shared" ca="1" si="5"/>
        <v>154.89215589373075</v>
      </c>
      <c r="K31" s="3">
        <f t="shared" ca="1" si="6"/>
        <v>-7.5638252678193965</v>
      </c>
      <c r="L31" s="3"/>
      <c r="M31">
        <v>29</v>
      </c>
      <c r="N31">
        <v>930</v>
      </c>
      <c r="O31" s="3" cm="1">
        <f t="array" aca="1" ref="O31" ca="1">INDIRECT("E"&amp;N31)</f>
        <v>39.691249961273414</v>
      </c>
    </row>
    <row r="32" spans="1:15" x14ac:dyDescent="0.3">
      <c r="A32">
        <v>30</v>
      </c>
      <c r="B32" s="2">
        <f t="shared" si="0"/>
        <v>302.11480362537765</v>
      </c>
      <c r="C32" s="2">
        <f t="shared" si="1"/>
        <v>2.9692498539778166E-3</v>
      </c>
      <c r="D32" s="2">
        <f t="shared" si="2"/>
        <v>63.63540007683406</v>
      </c>
      <c r="E32" s="3">
        <f t="shared" si="7"/>
        <v>146.5437201383013</v>
      </c>
      <c r="F32" cm="1">
        <f t="array" aca="1" ref="F32" ca="1">INDEX($O$2:$O$34,INT(A32/$Z$1)+1)</f>
        <v>250</v>
      </c>
      <c r="G32" cm="1">
        <f t="array" aca="1" ref="G32" ca="1">INDEX($O$2:$O$34,INT(A32/$Z$1)+2)</f>
        <v>145.05341339997875</v>
      </c>
      <c r="H32">
        <f t="shared" ca="1" si="3"/>
        <v>-3.279580831250664</v>
      </c>
      <c r="I32">
        <f t="shared" ca="1" si="4"/>
        <v>-98.387424937519924</v>
      </c>
      <c r="J32" s="3">
        <f t="shared" ca="1" si="5"/>
        <v>151.61257506248006</v>
      </c>
      <c r="K32" s="3">
        <f t="shared" ca="1" si="6"/>
        <v>-5.0688549241787655</v>
      </c>
      <c r="L32" s="3"/>
      <c r="M32">
        <v>30</v>
      </c>
      <c r="N32">
        <v>962</v>
      </c>
      <c r="O32" s="3" cm="1">
        <f t="array" aca="1" ref="O32" ca="1">INDIRECT("E"&amp;N32)</f>
        <v>33.009257413115584</v>
      </c>
    </row>
    <row r="33" spans="1:15" x14ac:dyDescent="0.3">
      <c r="A33">
        <v>31</v>
      </c>
      <c r="B33" s="2">
        <f t="shared" si="0"/>
        <v>312.5</v>
      </c>
      <c r="C33" s="2">
        <f t="shared" si="1"/>
        <v>2.9729658072577695E-3</v>
      </c>
      <c r="D33" s="2">
        <f t="shared" si="2"/>
        <v>63.214447098161884</v>
      </c>
      <c r="E33" s="3">
        <f t="shared" si="7"/>
        <v>145.78600477669139</v>
      </c>
      <c r="F33" cm="1">
        <f t="array" aca="1" ref="F33" ca="1">INDEX($O$2:$O$34,INT(A33/$Z$1)+1)</f>
        <v>250</v>
      </c>
      <c r="G33" cm="1">
        <f t="array" aca="1" ref="G33" ca="1">INDEX($O$2:$O$34,INT(A33/$Z$1)+2)</f>
        <v>145.05341339997875</v>
      </c>
      <c r="H33">
        <f t="shared" ca="1" si="3"/>
        <v>-3.279580831250664</v>
      </c>
      <c r="I33">
        <f t="shared" ca="1" si="4"/>
        <v>-101.66700576877058</v>
      </c>
      <c r="J33" s="3">
        <f t="shared" ca="1" si="5"/>
        <v>148.33299423122941</v>
      </c>
      <c r="K33" s="3">
        <f t="shared" ca="1" si="6"/>
        <v>-2.5469894545380214</v>
      </c>
      <c r="L33" s="3"/>
      <c r="M33">
        <v>31</v>
      </c>
      <c r="N33">
        <v>994</v>
      </c>
      <c r="O33" s="3" cm="1">
        <f t="array" aca="1" ref="O33" ca="1">INDIRECT("E"&amp;N33)</f>
        <v>22.249057963683288</v>
      </c>
    </row>
    <row r="34" spans="1:15" x14ac:dyDescent="0.3">
      <c r="A34">
        <v>32</v>
      </c>
      <c r="B34" s="2">
        <f t="shared" si="0"/>
        <v>322.90615539858726</v>
      </c>
      <c r="C34" s="2">
        <f t="shared" si="1"/>
        <v>2.9765674027399307E-3</v>
      </c>
      <c r="D34" s="2">
        <f t="shared" si="2"/>
        <v>62.807451888877097</v>
      </c>
      <c r="E34" s="3">
        <f t="shared" si="7"/>
        <v>145.05341339997875</v>
      </c>
      <c r="F34" cm="1">
        <f t="array" aca="1" ref="F34" ca="1">INDEX($O$2:$O$34,INT(A34/$Z$1)+1)</f>
        <v>145.05341339997875</v>
      </c>
      <c r="G34" cm="1">
        <f t="array" aca="1" ref="G34" ca="1">INDEX($O$2:$O$34,INT(A34/$Z$1)+2)</f>
        <v>129.26077113326943</v>
      </c>
      <c r="H34">
        <f t="shared" ca="1" si="3"/>
        <v>-0.49352007083466631</v>
      </c>
      <c r="I34">
        <f t="shared" ca="1" si="4"/>
        <v>0</v>
      </c>
      <c r="J34" s="3">
        <f t="shared" ca="1" si="5"/>
        <v>145.05341339997875</v>
      </c>
      <c r="K34" s="3">
        <f t="shared" ca="1" si="6"/>
        <v>0</v>
      </c>
      <c r="L34" s="3"/>
      <c r="M34">
        <v>32</v>
      </c>
      <c r="N34">
        <v>1026</v>
      </c>
      <c r="O34" s="3" cm="1">
        <f t="array" aca="1" ref="O34" ca="1">INDIRECT("E"&amp;N34)</f>
        <v>0</v>
      </c>
    </row>
    <row r="35" spans="1:15" x14ac:dyDescent="0.3">
      <c r="A35">
        <v>33</v>
      </c>
      <c r="B35" s="2">
        <f t="shared" si="0"/>
        <v>333.33333333333331</v>
      </c>
      <c r="C35" s="2">
        <f t="shared" si="1"/>
        <v>2.9800616866502358E-3</v>
      </c>
      <c r="D35" s="2">
        <f t="shared" si="2"/>
        <v>62.413523560500096</v>
      </c>
      <c r="E35" s="3">
        <f t="shared" si="7"/>
        <v>144.34434240890019</v>
      </c>
      <c r="F35" cm="1">
        <f t="array" aca="1" ref="F35" ca="1">INDEX($O$2:$O$34,INT(A35/$Z$1)+1)</f>
        <v>145.05341339997875</v>
      </c>
      <c r="G35" cm="1">
        <f t="array" aca="1" ref="G35" ca="1">INDEX($O$2:$O$34,INT(A35/$Z$1)+2)</f>
        <v>129.26077113326943</v>
      </c>
      <c r="H35">
        <f t="shared" ca="1" si="3"/>
        <v>-0.49352007083466631</v>
      </c>
      <c r="I35">
        <f t="shared" ca="1" si="4"/>
        <v>-0.49352007083466631</v>
      </c>
      <c r="J35" s="3">
        <f t="shared" ca="1" si="5"/>
        <v>144.55989332914407</v>
      </c>
      <c r="K35" s="3">
        <f t="shared" ca="1" si="6"/>
        <v>-0.215550920243885</v>
      </c>
      <c r="L35" s="3"/>
    </row>
    <row r="36" spans="1:15" x14ac:dyDescent="0.3">
      <c r="A36">
        <v>34</v>
      </c>
      <c r="B36" s="2">
        <f t="shared" si="0"/>
        <v>343.78159757330639</v>
      </c>
      <c r="C36" s="2">
        <f t="shared" si="1"/>
        <v>2.9834550740337139E-3</v>
      </c>
      <c r="D36" s="2">
        <f t="shared" si="2"/>
        <v>62.031852980937401</v>
      </c>
      <c r="E36" s="3">
        <f t="shared" si="7"/>
        <v>143.65733536568732</v>
      </c>
      <c r="F36" cm="1">
        <f t="array" aca="1" ref="F36" ca="1">INDEX($O$2:$O$34,INT(A36/$Z$1)+1)</f>
        <v>145.05341339997875</v>
      </c>
      <c r="G36" cm="1">
        <f t="array" aca="1" ref="G36" ca="1">INDEX($O$2:$O$34,INT(A36/$Z$1)+2)</f>
        <v>129.26077113326943</v>
      </c>
      <c r="H36">
        <f t="shared" ca="1" si="3"/>
        <v>-0.49352007083466631</v>
      </c>
      <c r="I36">
        <f t="shared" ca="1" si="4"/>
        <v>-0.98704014166933263</v>
      </c>
      <c r="J36" s="3">
        <f t="shared" ca="1" si="5"/>
        <v>144.06637325830943</v>
      </c>
      <c r="K36" s="3">
        <f t="shared" ca="1" si="6"/>
        <v>-0.40903789262210921</v>
      </c>
      <c r="L36" s="3"/>
    </row>
    <row r="37" spans="1:15" x14ac:dyDescent="0.3">
      <c r="A37">
        <v>35</v>
      </c>
      <c r="B37" s="2">
        <f t="shared" si="0"/>
        <v>354.25101214574897</v>
      </c>
      <c r="C37" s="2">
        <f t="shared" si="1"/>
        <v>2.9867534219622134E-3</v>
      </c>
      <c r="D37" s="2">
        <f t="shared" si="2"/>
        <v>61.66170311777131</v>
      </c>
      <c r="E37" s="3">
        <f t="shared" si="7"/>
        <v>142.99106561198838</v>
      </c>
      <c r="F37" cm="1">
        <f t="array" aca="1" ref="F37" ca="1">INDEX($O$2:$O$34,INT(A37/$Z$1)+1)</f>
        <v>145.05341339997875</v>
      </c>
      <c r="G37" cm="1">
        <f t="array" aca="1" ref="G37" ca="1">INDEX($O$2:$O$34,INT(A37/$Z$1)+2)</f>
        <v>129.26077113326943</v>
      </c>
      <c r="H37">
        <f t="shared" ca="1" si="3"/>
        <v>-0.49352007083466631</v>
      </c>
      <c r="I37">
        <f t="shared" ca="1" si="4"/>
        <v>-1.4805602125039989</v>
      </c>
      <c r="J37" s="3">
        <f t="shared" ca="1" si="5"/>
        <v>143.57285318747475</v>
      </c>
      <c r="K37" s="3">
        <f t="shared" ca="1" si="6"/>
        <v>-0.5817875754863735</v>
      </c>
      <c r="L37" s="3"/>
    </row>
    <row r="38" spans="1:15" x14ac:dyDescent="0.3">
      <c r="A38">
        <v>36</v>
      </c>
      <c r="B38" s="2">
        <f t="shared" si="0"/>
        <v>364.741641337386</v>
      </c>
      <c r="C38" s="2">
        <f t="shared" si="1"/>
        <v>2.9899620924267708E-3</v>
      </c>
      <c r="D38" s="2">
        <f t="shared" si="2"/>
        <v>61.302400762165121</v>
      </c>
      <c r="E38" s="3">
        <f t="shared" si="7"/>
        <v>142.34432137189722</v>
      </c>
      <c r="F38" cm="1">
        <f t="array" aca="1" ref="F38" ca="1">INDEX($O$2:$O$34,INT(A38/$Z$1)+1)</f>
        <v>145.05341339997875</v>
      </c>
      <c r="G38" cm="1">
        <f t="array" aca="1" ref="G38" ca="1">INDEX($O$2:$O$34,INT(A38/$Z$1)+2)</f>
        <v>129.26077113326943</v>
      </c>
      <c r="H38">
        <f t="shared" ca="1" si="3"/>
        <v>-0.49352007083466631</v>
      </c>
      <c r="I38">
        <f t="shared" ca="1" si="4"/>
        <v>-1.9740802833386653</v>
      </c>
      <c r="J38" s="3">
        <f t="shared" ca="1" si="5"/>
        <v>143.0793331166401</v>
      </c>
      <c r="K38" s="3">
        <f t="shared" ca="1" si="6"/>
        <v>-0.73501174474287723</v>
      </c>
      <c r="L38" s="3"/>
    </row>
    <row r="39" spans="1:15" x14ac:dyDescent="0.3">
      <c r="A39">
        <v>37</v>
      </c>
      <c r="B39" s="2">
        <f t="shared" si="0"/>
        <v>375.25354969574039</v>
      </c>
      <c r="C39" s="2">
        <f t="shared" si="1"/>
        <v>2.9930860066111086E-3</v>
      </c>
      <c r="D39" s="2">
        <f t="shared" si="2"/>
        <v>60.953329403567636</v>
      </c>
      <c r="E39" s="3">
        <f t="shared" si="7"/>
        <v>141.71599292642173</v>
      </c>
      <c r="F39" cm="1">
        <f t="array" aca="1" ref="F39" ca="1">INDEX($O$2:$O$34,INT(A39/$Z$1)+1)</f>
        <v>145.05341339997875</v>
      </c>
      <c r="G39" cm="1">
        <f t="array" aca="1" ref="G39" ca="1">INDEX($O$2:$O$34,INT(A39/$Z$1)+2)</f>
        <v>129.26077113326943</v>
      </c>
      <c r="H39">
        <f t="shared" ca="1" si="3"/>
        <v>-0.49352007083466631</v>
      </c>
      <c r="I39">
        <f t="shared" ca="1" si="4"/>
        <v>-2.4676003541733316</v>
      </c>
      <c r="J39" s="3">
        <f t="shared" ca="1" si="5"/>
        <v>142.58581304580542</v>
      </c>
      <c r="K39" s="3">
        <f t="shared" ca="1" si="6"/>
        <v>-0.86982011938368942</v>
      </c>
      <c r="L39" s="3"/>
    </row>
    <row r="40" spans="1:15" x14ac:dyDescent="0.3">
      <c r="A40">
        <v>38</v>
      </c>
      <c r="B40" s="2">
        <f t="shared" si="0"/>
        <v>385.78680203045684</v>
      </c>
      <c r="C40" s="2">
        <f t="shared" si="1"/>
        <v>2.9961296919258969E-3</v>
      </c>
      <c r="D40" s="2">
        <f t="shared" si="2"/>
        <v>60.613923068765814</v>
      </c>
      <c r="E40" s="3">
        <f t="shared" si="7"/>
        <v>141.10506152377849</v>
      </c>
      <c r="F40" cm="1">
        <f t="array" aca="1" ref="F40" ca="1">INDEX($O$2:$O$34,INT(A40/$Z$1)+1)</f>
        <v>145.05341339997875</v>
      </c>
      <c r="G40" cm="1">
        <f t="array" aca="1" ref="G40" ca="1">INDEX($O$2:$O$34,INT(A40/$Z$1)+2)</f>
        <v>129.26077113326943</v>
      </c>
      <c r="H40">
        <f t="shared" ca="1" si="3"/>
        <v>-0.49352007083466631</v>
      </c>
      <c r="I40">
        <f t="shared" ca="1" si="4"/>
        <v>-2.9611204250079979</v>
      </c>
      <c r="J40" s="3">
        <f t="shared" ca="1" si="5"/>
        <v>142.09229297497075</v>
      </c>
      <c r="K40" s="3">
        <f t="shared" ca="1" si="6"/>
        <v>-0.98723145119225819</v>
      </c>
      <c r="L40" s="3"/>
    </row>
    <row r="41" spans="1:15" x14ac:dyDescent="0.3">
      <c r="A41">
        <v>39</v>
      </c>
      <c r="B41" s="2">
        <f t="shared" si="0"/>
        <v>396.34146341463412</v>
      </c>
      <c r="C41" s="2">
        <f t="shared" si="1"/>
        <v>2.999097322932469E-3</v>
      </c>
      <c r="D41" s="2">
        <f t="shared" si="2"/>
        <v>60.283660973101121</v>
      </c>
      <c r="E41" s="3">
        <f t="shared" si="7"/>
        <v>140.51058975158202</v>
      </c>
      <c r="F41" cm="1">
        <f t="array" aca="1" ref="F41" ca="1">INDEX($O$2:$O$34,INT(A41/$Z$1)+1)</f>
        <v>145.05341339997875</v>
      </c>
      <c r="G41" cm="1">
        <f t="array" aca="1" ref="G41" ca="1">INDEX($O$2:$O$34,INT(A41/$Z$1)+2)</f>
        <v>129.26077113326943</v>
      </c>
      <c r="H41">
        <f t="shared" ca="1" si="3"/>
        <v>-0.49352007083466631</v>
      </c>
      <c r="I41">
        <f t="shared" ca="1" si="4"/>
        <v>-3.4546404958426642</v>
      </c>
      <c r="J41" s="3">
        <f t="shared" ca="1" si="5"/>
        <v>141.5987729041361</v>
      </c>
      <c r="K41" s="3">
        <f t="shared" ca="1" si="6"/>
        <v>-1.0881831525540804</v>
      </c>
      <c r="L41" s="3"/>
    </row>
    <row r="42" spans="1:15" x14ac:dyDescent="0.3">
      <c r="A42">
        <v>40</v>
      </c>
      <c r="B42" s="2">
        <f t="shared" si="0"/>
        <v>406.91759918616481</v>
      </c>
      <c r="C42" s="2">
        <f t="shared" si="1"/>
        <v>3.0019927570845372E-3</v>
      </c>
      <c r="D42" s="2">
        <f t="shared" si="2"/>
        <v>59.962062858931063</v>
      </c>
      <c r="E42" s="3">
        <f t="shared" si="7"/>
        <v>139.93171314607591</v>
      </c>
      <c r="F42" cm="1">
        <f t="array" aca="1" ref="F42" ca="1">INDEX($O$2:$O$34,INT(A42/$Z$1)+1)</f>
        <v>145.05341339997875</v>
      </c>
      <c r="G42" cm="1">
        <f t="array" aca="1" ref="G42" ca="1">INDEX($O$2:$O$34,INT(A42/$Z$1)+2)</f>
        <v>129.26077113326943</v>
      </c>
      <c r="H42">
        <f t="shared" ca="1" si="3"/>
        <v>-0.49352007083466631</v>
      </c>
      <c r="I42">
        <f t="shared" ca="1" si="4"/>
        <v>-3.9481605666773305</v>
      </c>
      <c r="J42" s="3">
        <f t="shared" ca="1" si="5"/>
        <v>141.10525283330142</v>
      </c>
      <c r="K42" s="3">
        <f t="shared" ca="1" si="6"/>
        <v>-1.1735396872255137</v>
      </c>
      <c r="L42" s="3"/>
    </row>
    <row r="43" spans="1:15" x14ac:dyDescent="0.3">
      <c r="A43">
        <v>41</v>
      </c>
      <c r="B43" s="2">
        <f t="shared" si="0"/>
        <v>417.5152749490835</v>
      </c>
      <c r="C43" s="2">
        <f t="shared" si="1"/>
        <v>3.0048195660559193E-3</v>
      </c>
      <c r="D43" s="2">
        <f t="shared" si="2"/>
        <v>59.648684918237848</v>
      </c>
      <c r="E43" s="3">
        <f t="shared" si="7"/>
        <v>139.36763285282814</v>
      </c>
      <c r="F43" cm="1">
        <f t="array" aca="1" ref="F43" ca="1">INDEX($O$2:$O$34,INT(A43/$Z$1)+1)</f>
        <v>145.05341339997875</v>
      </c>
      <c r="G43" cm="1">
        <f t="array" aca="1" ref="G43" ca="1">INDEX($O$2:$O$34,INT(A43/$Z$1)+2)</f>
        <v>129.26077113326943</v>
      </c>
      <c r="H43">
        <f t="shared" ca="1" si="3"/>
        <v>-0.49352007083466631</v>
      </c>
      <c r="I43">
        <f t="shared" ca="1" si="4"/>
        <v>-4.4416806375119968</v>
      </c>
      <c r="J43" s="3">
        <f t="shared" ca="1" si="5"/>
        <v>140.61173276246674</v>
      </c>
      <c r="K43" s="3">
        <f t="shared" ca="1" si="6"/>
        <v>-1.2440999096386065</v>
      </c>
      <c r="L43" s="3"/>
    </row>
    <row r="44" spans="1:15" x14ac:dyDescent="0.3">
      <c r="A44">
        <v>42</v>
      </c>
      <c r="B44" s="2">
        <f t="shared" si="0"/>
        <v>428.13455657492352</v>
      </c>
      <c r="C44" s="2">
        <f t="shared" si="1"/>
        <v>3.0075810632926702E-3</v>
      </c>
      <c r="D44" s="2">
        <f t="shared" si="2"/>
        <v>59.343116213868541</v>
      </c>
      <c r="E44" s="3">
        <f t="shared" si="7"/>
        <v>138.81760918496337</v>
      </c>
      <c r="F44" cm="1">
        <f t="array" aca="1" ref="F44" ca="1">INDEX($O$2:$O$34,INT(A44/$Z$1)+1)</f>
        <v>145.05341339997875</v>
      </c>
      <c r="G44" cm="1">
        <f t="array" aca="1" ref="G44" ca="1">INDEX($O$2:$O$34,INT(A44/$Z$1)+2)</f>
        <v>129.26077113326943</v>
      </c>
      <c r="H44">
        <f t="shared" ca="1" si="3"/>
        <v>-0.49352007083466631</v>
      </c>
      <c r="I44">
        <f t="shared" ca="1" si="4"/>
        <v>-4.9352007083466631</v>
      </c>
      <c r="J44" s="3">
        <f t="shared" ca="1" si="5"/>
        <v>140.1182126916321</v>
      </c>
      <c r="K44" s="3">
        <f t="shared" ca="1" si="6"/>
        <v>-1.3006035066687218</v>
      </c>
      <c r="L44" s="3"/>
    </row>
    <row r="45" spans="1:15" x14ac:dyDescent="0.3">
      <c r="A45">
        <v>43</v>
      </c>
      <c r="B45" s="2">
        <f t="shared" si="0"/>
        <v>438.77551020408163</v>
      </c>
      <c r="C45" s="2">
        <f t="shared" si="1"/>
        <v>3.0102803283228322E-3</v>
      </c>
      <c r="D45" s="2">
        <f t="shared" si="2"/>
        <v>59.044975528125235</v>
      </c>
      <c r="E45" s="3">
        <f t="shared" si="7"/>
        <v>138.28095595062541</v>
      </c>
      <c r="F45" cm="1">
        <f t="array" aca="1" ref="F45" ca="1">INDEX($O$2:$O$34,INT(A45/$Z$1)+1)</f>
        <v>145.05341339997875</v>
      </c>
      <c r="G45" cm="1">
        <f t="array" aca="1" ref="G45" ca="1">INDEX($O$2:$O$34,INT(A45/$Z$1)+2)</f>
        <v>129.26077113326943</v>
      </c>
      <c r="H45">
        <f t="shared" ca="1" si="3"/>
        <v>-0.49352007083466631</v>
      </c>
      <c r="I45">
        <f t="shared" ca="1" si="4"/>
        <v>-5.4287207791813294</v>
      </c>
      <c r="J45" s="3">
        <f t="shared" ca="1" si="5"/>
        <v>139.62469262079742</v>
      </c>
      <c r="K45" s="3">
        <f t="shared" ca="1" si="6"/>
        <v>-1.3437366701720066</v>
      </c>
      <c r="L45" s="3"/>
    </row>
    <row r="46" spans="1:15" x14ac:dyDescent="0.3">
      <c r="A46">
        <v>44</v>
      </c>
      <c r="B46" s="2">
        <f t="shared" si="0"/>
        <v>449.43820224719099</v>
      </c>
      <c r="C46" s="2">
        <f t="shared" si="1"/>
        <v>3.0129202282711759E-3</v>
      </c>
      <c r="D46" s="2">
        <f t="shared" si="2"/>
        <v>58.753908579021186</v>
      </c>
      <c r="E46" s="3">
        <f t="shared" si="7"/>
        <v>137.75703544223813</v>
      </c>
      <c r="F46" cm="1">
        <f t="array" aca="1" ref="F46" ca="1">INDEX($O$2:$O$34,INT(A46/$Z$1)+1)</f>
        <v>145.05341339997875</v>
      </c>
      <c r="G46" cm="1">
        <f t="array" aca="1" ref="G46" ca="1">INDEX($O$2:$O$34,INT(A46/$Z$1)+2)</f>
        <v>129.26077113326943</v>
      </c>
      <c r="H46">
        <f t="shared" ca="1" si="3"/>
        <v>-0.49352007083466631</v>
      </c>
      <c r="I46">
        <f t="shared" ca="1" si="4"/>
        <v>-5.9222408500159958</v>
      </c>
      <c r="J46" s="3">
        <f t="shared" ca="1" si="5"/>
        <v>139.13117254996274</v>
      </c>
      <c r="K46" s="3">
        <f t="shared" ca="1" si="6"/>
        <v>-1.3741371077246072</v>
      </c>
      <c r="L46" s="3"/>
    </row>
    <row r="47" spans="1:15" x14ac:dyDescent="0.3">
      <c r="A47">
        <v>45</v>
      </c>
      <c r="B47" s="2">
        <f t="shared" si="0"/>
        <v>460.12269938650309</v>
      </c>
      <c r="C47" s="2">
        <f t="shared" si="1"/>
        <v>3.0155034369559082E-3</v>
      </c>
      <c r="D47" s="2">
        <f t="shared" si="2"/>
        <v>58.469585554006358</v>
      </c>
      <c r="E47" s="3">
        <f t="shared" si="7"/>
        <v>137.24525399721145</v>
      </c>
      <c r="F47" cm="1">
        <f t="array" aca="1" ref="F47" ca="1">INDEX($O$2:$O$34,INT(A47/$Z$1)+1)</f>
        <v>145.05341339997875</v>
      </c>
      <c r="G47" cm="1">
        <f t="array" aca="1" ref="G47" ca="1">INDEX($O$2:$O$34,INT(A47/$Z$1)+2)</f>
        <v>129.26077113326943</v>
      </c>
      <c r="H47">
        <f t="shared" ca="1" si="3"/>
        <v>-0.49352007083466631</v>
      </c>
      <c r="I47">
        <f t="shared" ca="1" si="4"/>
        <v>-6.4157609208506621</v>
      </c>
      <c r="J47" s="3">
        <f t="shared" ca="1" si="5"/>
        <v>138.63765247912809</v>
      </c>
      <c r="K47" s="3">
        <f t="shared" ca="1" si="6"/>
        <v>-1.3923984819166435</v>
      </c>
      <c r="L47" s="3"/>
    </row>
    <row r="48" spans="1:15" x14ac:dyDescent="0.3">
      <c r="A48">
        <v>46</v>
      </c>
      <c r="B48" s="2">
        <f t="shared" si="0"/>
        <v>470.82906857727738</v>
      </c>
      <c r="C48" s="2">
        <f t="shared" si="1"/>
        <v>3.0180324518863026E-3</v>
      </c>
      <c r="D48" s="2">
        <f t="shared" si="2"/>
        <v>58.191698918773852</v>
      </c>
      <c r="E48" s="3">
        <f t="shared" si="7"/>
        <v>136.74505805379295</v>
      </c>
      <c r="F48" cm="1">
        <f t="array" aca="1" ref="F48" ca="1">INDEX($O$2:$O$34,INT(A48/$Z$1)+1)</f>
        <v>145.05341339997875</v>
      </c>
      <c r="G48" cm="1">
        <f t="array" aca="1" ref="G48" ca="1">INDEX($O$2:$O$34,INT(A48/$Z$1)+2)</f>
        <v>129.26077113326943</v>
      </c>
      <c r="H48">
        <f t="shared" ca="1" si="3"/>
        <v>-0.49352007083466631</v>
      </c>
      <c r="I48">
        <f t="shared" ca="1" si="4"/>
        <v>-6.9092809916853284</v>
      </c>
      <c r="J48" s="3">
        <f t="shared" ca="1" si="5"/>
        <v>138.14413240829342</v>
      </c>
      <c r="K48" s="3">
        <f t="shared" ca="1" si="6"/>
        <v>-1.3990743545004705</v>
      </c>
      <c r="L48" s="3"/>
    </row>
    <row r="49" spans="1:12" x14ac:dyDescent="0.3">
      <c r="A49">
        <v>47</v>
      </c>
      <c r="B49" s="2">
        <f t="shared" si="0"/>
        <v>481.55737704918033</v>
      </c>
      <c r="C49" s="2">
        <f t="shared" si="1"/>
        <v>3.0205096094321825E-3</v>
      </c>
      <c r="D49" s="2">
        <f t="shared" si="2"/>
        <v>57.919961465206995</v>
      </c>
      <c r="E49" s="3">
        <f t="shared" si="7"/>
        <v>136.25593063737261</v>
      </c>
      <c r="F49" cm="1">
        <f t="array" aca="1" ref="F49" ca="1">INDEX($O$2:$O$34,INT(A49/$Z$1)+1)</f>
        <v>145.05341339997875</v>
      </c>
      <c r="G49" cm="1">
        <f t="array" aca="1" ref="G49" ca="1">INDEX($O$2:$O$34,INT(A49/$Z$1)+2)</f>
        <v>129.26077113326943</v>
      </c>
      <c r="H49">
        <f t="shared" ca="1" si="3"/>
        <v>-0.49352007083466631</v>
      </c>
      <c r="I49">
        <f t="shared" ca="1" si="4"/>
        <v>-7.4028010625199947</v>
      </c>
      <c r="J49" s="3">
        <f t="shared" ca="1" si="5"/>
        <v>137.65061233745877</v>
      </c>
      <c r="K49" s="3">
        <f t="shared" ca="1" si="6"/>
        <v>-1.3946817000861529</v>
      </c>
      <c r="L49" s="3"/>
    </row>
    <row r="50" spans="1:12" x14ac:dyDescent="0.3">
      <c r="A50">
        <v>48</v>
      </c>
      <c r="B50" s="2">
        <f t="shared" si="0"/>
        <v>492.30769230769232</v>
      </c>
      <c r="C50" s="2">
        <f t="shared" si="1"/>
        <v>3.0229370983962394E-3</v>
      </c>
      <c r="D50" s="2">
        <f t="shared" si="2"/>
        <v>57.654104567882257</v>
      </c>
      <c r="E50" s="3">
        <f t="shared" si="7"/>
        <v>135.77738822218808</v>
      </c>
      <c r="F50" cm="1">
        <f t="array" aca="1" ref="F50" ca="1">INDEX($O$2:$O$34,INT(A50/$Z$1)+1)</f>
        <v>145.05341339997875</v>
      </c>
      <c r="G50" cm="1">
        <f t="array" aca="1" ref="G50" ca="1">INDEX($O$2:$O$34,INT(A50/$Z$1)+2)</f>
        <v>129.26077113326943</v>
      </c>
      <c r="H50">
        <f t="shared" ca="1" si="3"/>
        <v>-0.49352007083466631</v>
      </c>
      <c r="I50">
        <f t="shared" ca="1" si="4"/>
        <v>-7.896321133354661</v>
      </c>
      <c r="J50" s="3">
        <f t="shared" ca="1" si="5"/>
        <v>137.15709226662409</v>
      </c>
      <c r="K50" s="3">
        <f t="shared" ca="1" si="6"/>
        <v>-1.3797040444360107</v>
      </c>
      <c r="L50" s="3"/>
    </row>
    <row r="51" spans="1:12" x14ac:dyDescent="0.3">
      <c r="A51">
        <v>49</v>
      </c>
      <c r="B51" s="2">
        <f t="shared" si="0"/>
        <v>503.08008213552364</v>
      </c>
      <c r="C51" s="2">
        <f t="shared" si="1"/>
        <v>3.0253169721868338E-3</v>
      </c>
      <c r="D51" s="2">
        <f t="shared" si="2"/>
        <v>57.393876623002427</v>
      </c>
      <c r="E51" s="3">
        <f t="shared" si="7"/>
        <v>135.30897792140436</v>
      </c>
      <c r="F51" cm="1">
        <f t="array" aca="1" ref="F51" ca="1">INDEX($O$2:$O$34,INT(A51/$Z$1)+1)</f>
        <v>145.05341339997875</v>
      </c>
      <c r="G51" cm="1">
        <f t="array" aca="1" ref="G51" ca="1">INDEX($O$2:$O$34,INT(A51/$Z$1)+2)</f>
        <v>129.26077113326943</v>
      </c>
      <c r="H51">
        <f t="shared" ca="1" si="3"/>
        <v>-0.49352007083466631</v>
      </c>
      <c r="I51">
        <f t="shared" ca="1" si="4"/>
        <v>-8.3898412041893273</v>
      </c>
      <c r="J51" s="3">
        <f t="shared" ca="1" si="5"/>
        <v>136.66357219578941</v>
      </c>
      <c r="K51" s="3">
        <f t="shared" ca="1" si="6"/>
        <v>-1.3545942743850503</v>
      </c>
      <c r="L51" s="3"/>
    </row>
    <row r="52" spans="1:12" x14ac:dyDescent="0.3">
      <c r="A52">
        <v>50</v>
      </c>
      <c r="B52" s="2">
        <f t="shared" si="0"/>
        <v>513.87461459403903</v>
      </c>
      <c r="C52" s="2">
        <f t="shared" si="1"/>
        <v>3.0276511597609524E-3</v>
      </c>
      <c r="D52" s="2">
        <f t="shared" si="2"/>
        <v>57.13904164737221</v>
      </c>
      <c r="E52" s="3">
        <f t="shared" si="7"/>
        <v>134.85027496526999</v>
      </c>
      <c r="F52" cm="1">
        <f t="array" aca="1" ref="F52" ca="1">INDEX($O$2:$O$34,INT(A52/$Z$1)+1)</f>
        <v>145.05341339997875</v>
      </c>
      <c r="G52" cm="1">
        <f t="array" aca="1" ref="G52" ca="1">INDEX($O$2:$O$34,INT(A52/$Z$1)+2)</f>
        <v>129.26077113326943</v>
      </c>
      <c r="H52">
        <f t="shared" ca="1" si="3"/>
        <v>-0.49352007083466631</v>
      </c>
      <c r="I52">
        <f t="shared" ca="1" si="4"/>
        <v>-8.8833612750239936</v>
      </c>
      <c r="J52" s="3">
        <f t="shared" ca="1" si="5"/>
        <v>136.17005212495476</v>
      </c>
      <c r="K52" s="3">
        <f t="shared" ca="1" si="6"/>
        <v>-1.3197771596847758</v>
      </c>
      <c r="L52" s="3"/>
    </row>
    <row r="53" spans="1:12" x14ac:dyDescent="0.3">
      <c r="A53">
        <v>51</v>
      </c>
      <c r="B53" s="2">
        <f t="shared" si="0"/>
        <v>524.69135802469134</v>
      </c>
      <c r="C53" s="2">
        <f t="shared" si="1"/>
        <v>3.0299414754834829E-3</v>
      </c>
      <c r="D53" s="2">
        <f t="shared" si="2"/>
        <v>56.889378018161779</v>
      </c>
      <c r="E53" s="3">
        <f t="shared" si="7"/>
        <v>134.4008804326912</v>
      </c>
      <c r="F53" cm="1">
        <f t="array" aca="1" ref="F53" ca="1">INDEX($O$2:$O$34,INT(A53/$Z$1)+1)</f>
        <v>145.05341339997875</v>
      </c>
      <c r="G53" cm="1">
        <f t="array" aca="1" ref="G53" ca="1">INDEX($O$2:$O$34,INT(A53/$Z$1)+2)</f>
        <v>129.26077113326943</v>
      </c>
      <c r="H53">
        <f t="shared" ca="1" si="3"/>
        <v>-0.49352007083466631</v>
      </c>
      <c r="I53">
        <f t="shared" ca="1" si="4"/>
        <v>-9.37688134585866</v>
      </c>
      <c r="J53" s="3">
        <f t="shared" ca="1" si="5"/>
        <v>135.67653205412009</v>
      </c>
      <c r="K53" s="3">
        <f t="shared" ca="1" si="6"/>
        <v>-1.2756516214288922</v>
      </c>
      <c r="L53" s="3"/>
    </row>
    <row r="54" spans="1:12" x14ac:dyDescent="0.3">
      <c r="A54">
        <v>52</v>
      </c>
      <c r="B54" s="2">
        <f t="shared" si="0"/>
        <v>535.53038105046346</v>
      </c>
      <c r="C54" s="2">
        <f t="shared" si="1"/>
        <v>3.032189628029086E-3</v>
      </c>
      <c r="D54" s="2">
        <f t="shared" si="2"/>
        <v>56.644677336851487</v>
      </c>
      <c r="E54" s="3">
        <f t="shared" si="7"/>
        <v>133.96041920633269</v>
      </c>
      <c r="F54" cm="1">
        <f t="array" aca="1" ref="F54" ca="1">INDEX($O$2:$O$34,INT(A54/$Z$1)+1)</f>
        <v>145.05341339997875</v>
      </c>
      <c r="G54" cm="1">
        <f t="array" aca="1" ref="G54" ca="1">INDEX($O$2:$O$34,INT(A54/$Z$1)+2)</f>
        <v>129.26077113326943</v>
      </c>
      <c r="H54">
        <f t="shared" ca="1" si="3"/>
        <v>-0.49352007083466631</v>
      </c>
      <c r="I54">
        <f t="shared" ca="1" si="4"/>
        <v>-9.8704014166933263</v>
      </c>
      <c r="J54" s="3">
        <f t="shared" ca="1" si="5"/>
        <v>135.18301198328544</v>
      </c>
      <c r="K54" s="3">
        <f t="shared" ca="1" si="6"/>
        <v>-1.2225927769527516</v>
      </c>
      <c r="L54" s="3"/>
    </row>
    <row r="55" spans="1:12" x14ac:dyDescent="0.3">
      <c r="A55">
        <v>53</v>
      </c>
      <c r="B55" s="2">
        <f t="shared" si="0"/>
        <v>546.39175257731961</v>
      </c>
      <c r="C55" s="2">
        <f t="shared" si="1"/>
        <v>3.034397228436111E-3</v>
      </c>
      <c r="D55" s="2">
        <f t="shared" si="2"/>
        <v>56.404743402987833</v>
      </c>
      <c r="E55" s="3">
        <f t="shared" si="7"/>
        <v>133.52853812537811</v>
      </c>
      <c r="F55" cm="1">
        <f t="array" aca="1" ref="F55" ca="1">INDEX($O$2:$O$34,INT(A55/$Z$1)+1)</f>
        <v>145.05341339997875</v>
      </c>
      <c r="G55" cm="1">
        <f t="array" aca="1" ref="G55" ca="1">INDEX($O$2:$O$34,INT(A55/$Z$1)+2)</f>
        <v>129.26077113326943</v>
      </c>
      <c r="H55">
        <f t="shared" ca="1" si="3"/>
        <v>-0.49352007083466631</v>
      </c>
      <c r="I55">
        <f t="shared" ca="1" si="4"/>
        <v>-10.363921487527993</v>
      </c>
      <c r="J55" s="3">
        <f t="shared" ca="1" si="5"/>
        <v>134.68949191245076</v>
      </c>
      <c r="K55" s="3">
        <f t="shared" ca="1" si="6"/>
        <v>-1.160953787072657</v>
      </c>
      <c r="L55" s="3"/>
    </row>
    <row r="56" spans="1:12" x14ac:dyDescent="0.3">
      <c r="A56">
        <v>54</v>
      </c>
      <c r="B56" s="2">
        <f t="shared" si="0"/>
        <v>557.27554179566562</v>
      </c>
      <c r="C56" s="2">
        <f t="shared" si="1"/>
        <v>3.0365657974076705E-3</v>
      </c>
      <c r="D56" s="2">
        <f t="shared" si="2"/>
        <v>56.169391285281677</v>
      </c>
      <c r="E56" s="3">
        <f t="shared" si="7"/>
        <v>133.10490431350701</v>
      </c>
      <c r="F56" cm="1">
        <f t="array" aca="1" ref="F56" ca="1">INDEX($O$2:$O$34,INT(A56/$Z$1)+1)</f>
        <v>145.05341339997875</v>
      </c>
      <c r="G56" cm="1">
        <f t="array" aca="1" ref="G56" ca="1">INDEX($O$2:$O$34,INT(A56/$Z$1)+2)</f>
        <v>129.26077113326943</v>
      </c>
      <c r="H56">
        <f t="shared" ca="1" si="3"/>
        <v>-0.49352007083466631</v>
      </c>
      <c r="I56">
        <f t="shared" ca="1" si="4"/>
        <v>-10.857441558362659</v>
      </c>
      <c r="J56" s="3">
        <f t="shared" ca="1" si="5"/>
        <v>134.19597184161609</v>
      </c>
      <c r="K56" s="3">
        <f t="shared" ca="1" si="6"/>
        <v>-1.0910675281090789</v>
      </c>
      <c r="L56" s="3"/>
    </row>
    <row r="57" spans="1:12" x14ac:dyDescent="0.3">
      <c r="A57">
        <v>55</v>
      </c>
      <c r="B57" s="2">
        <f t="shared" si="0"/>
        <v>568.18181818181813</v>
      </c>
      <c r="C57" s="2">
        <f t="shared" si="1"/>
        <v>3.038696771942771E-3</v>
      </c>
      <c r="D57" s="2">
        <f t="shared" si="2"/>
        <v>55.938446479197921</v>
      </c>
      <c r="E57" s="3">
        <f t="shared" si="7"/>
        <v>132.68920366255625</v>
      </c>
      <c r="F57" cm="1">
        <f t="array" aca="1" ref="F57" ca="1">INDEX($O$2:$O$34,INT(A57/$Z$1)+1)</f>
        <v>145.05341339997875</v>
      </c>
      <c r="G57" cm="1">
        <f t="array" aca="1" ref="G57" ca="1">INDEX($O$2:$O$34,INT(A57/$Z$1)+2)</f>
        <v>129.26077113326943</v>
      </c>
      <c r="H57">
        <f t="shared" ca="1" si="3"/>
        <v>-0.49352007083466631</v>
      </c>
      <c r="I57">
        <f t="shared" ca="1" si="4"/>
        <v>-11.350961629197325</v>
      </c>
      <c r="J57" s="3">
        <f t="shared" ca="1" si="5"/>
        <v>133.70245177078144</v>
      </c>
      <c r="K57" s="3">
        <f t="shared" ca="1" si="6"/>
        <v>-1.0132481082251843</v>
      </c>
      <c r="L57" s="3"/>
    </row>
    <row r="58" spans="1:12" x14ac:dyDescent="0.3">
      <c r="A58">
        <v>56</v>
      </c>
      <c r="B58" s="2">
        <f t="shared" si="0"/>
        <v>579.11065149948297</v>
      </c>
      <c r="C58" s="2">
        <f t="shared" si="1"/>
        <v>3.0407915113699478E-3</v>
      </c>
      <c r="D58" s="2">
        <f t="shared" si="2"/>
        <v>55.711744141569454</v>
      </c>
      <c r="E58" s="3">
        <f t="shared" si="7"/>
        <v>132.28113945482502</v>
      </c>
      <c r="F58" cm="1">
        <f t="array" aca="1" ref="F58" ca="1">INDEX($O$2:$O$34,INT(A58/$Z$1)+1)</f>
        <v>145.05341339997875</v>
      </c>
      <c r="G58" cm="1">
        <f t="array" aca="1" ref="G58" ca="1">INDEX($O$2:$O$34,INT(A58/$Z$1)+2)</f>
        <v>129.26077113326943</v>
      </c>
      <c r="H58">
        <f t="shared" ca="1" si="3"/>
        <v>-0.49352007083466631</v>
      </c>
      <c r="I58">
        <f t="shared" ca="1" si="4"/>
        <v>-11.844481700031992</v>
      </c>
      <c r="J58" s="3">
        <f t="shared" ca="1" si="5"/>
        <v>133.20893169994676</v>
      </c>
      <c r="K58" s="3">
        <f t="shared" ca="1" si="6"/>
        <v>-0.92779224512173641</v>
      </c>
      <c r="L58" s="3"/>
    </row>
    <row r="59" spans="1:12" x14ac:dyDescent="0.3">
      <c r="A59">
        <v>57</v>
      </c>
      <c r="B59" s="2">
        <f t="shared" si="0"/>
        <v>590.06211180124228</v>
      </c>
      <c r="C59" s="2">
        <f t="shared" si="1"/>
        <v>3.0428513028468588E-3</v>
      </c>
      <c r="D59" s="2">
        <f t="shared" si="2"/>
        <v>55.489128393954331</v>
      </c>
      <c r="E59" s="3">
        <f t="shared" si="7"/>
        <v>131.88043110911781</v>
      </c>
      <c r="F59" cm="1">
        <f t="array" aca="1" ref="F59" ca="1">INDEX($O$2:$O$34,INT(A59/$Z$1)+1)</f>
        <v>145.05341339997875</v>
      </c>
      <c r="G59" cm="1">
        <f t="array" aca="1" ref="G59" ca="1">INDEX($O$2:$O$34,INT(A59/$Z$1)+2)</f>
        <v>129.26077113326943</v>
      </c>
      <c r="H59">
        <f t="shared" ca="1" si="3"/>
        <v>-0.49352007083466631</v>
      </c>
      <c r="I59">
        <f t="shared" ca="1" si="4"/>
        <v>-12.338001770866658</v>
      </c>
      <c r="J59" s="3">
        <f t="shared" ca="1" si="5"/>
        <v>132.71541162911208</v>
      </c>
      <c r="K59" s="3">
        <f t="shared" ca="1" si="6"/>
        <v>-0.83498051999427503</v>
      </c>
      <c r="L59" s="3"/>
    </row>
    <row r="60" spans="1:12" x14ac:dyDescent="0.3">
      <c r="A60">
        <v>58</v>
      </c>
      <c r="B60" s="2">
        <f t="shared" si="0"/>
        <v>601.03626943005179</v>
      </c>
      <c r="C60" s="2">
        <f t="shared" si="1"/>
        <v>3.0448773663815797E-3</v>
      </c>
      <c r="D60" s="2">
        <f t="shared" si="2"/>
        <v>55.270451687472473</v>
      </c>
      <c r="E60" s="3">
        <f t="shared" si="7"/>
        <v>131.48681303745045</v>
      </c>
      <c r="F60" cm="1">
        <f t="array" aca="1" ref="F60" ca="1">INDEX($O$2:$O$34,INT(A60/$Z$1)+1)</f>
        <v>145.05341339997875</v>
      </c>
      <c r="G60" cm="1">
        <f t="array" aca="1" ref="G60" ca="1">INDEX($O$2:$O$34,INT(A60/$Z$1)+2)</f>
        <v>129.26077113326943</v>
      </c>
      <c r="H60">
        <f t="shared" ca="1" si="3"/>
        <v>-0.49352007083466631</v>
      </c>
      <c r="I60">
        <f t="shared" ca="1" si="4"/>
        <v>-12.831521841701324</v>
      </c>
      <c r="J60" s="3">
        <f t="shared" ca="1" si="5"/>
        <v>132.22189155827743</v>
      </c>
      <c r="K60" s="3">
        <f t="shared" ca="1" si="6"/>
        <v>-0.73507852082698832</v>
      </c>
      <c r="L60" s="3"/>
    </row>
    <row r="61" spans="1:12" x14ac:dyDescent="0.3">
      <c r="A61">
        <v>59</v>
      </c>
      <c r="B61" s="2">
        <f t="shared" si="0"/>
        <v>612.03319502074692</v>
      </c>
      <c r="C61" s="2">
        <f t="shared" si="1"/>
        <v>3.04687085942466E-3</v>
      </c>
      <c r="D61" s="2">
        <f t="shared" si="2"/>
        <v>55.055574222738755</v>
      </c>
      <c r="E61" s="3">
        <f t="shared" si="7"/>
        <v>131.10003360092975</v>
      </c>
      <c r="F61" cm="1">
        <f t="array" aca="1" ref="F61" ca="1">INDEX($O$2:$O$34,INT(A61/$Z$1)+1)</f>
        <v>145.05341339997875</v>
      </c>
      <c r="G61" cm="1">
        <f t="array" aca="1" ref="G61" ca="1">INDEX($O$2:$O$34,INT(A61/$Z$1)+2)</f>
        <v>129.26077113326943</v>
      </c>
      <c r="H61">
        <f t="shared" ca="1" si="3"/>
        <v>-0.49352007083466631</v>
      </c>
      <c r="I61">
        <f t="shared" ca="1" si="4"/>
        <v>-13.32504191253599</v>
      </c>
      <c r="J61" s="3">
        <f t="shared" ca="1" si="5"/>
        <v>131.72837148744276</v>
      </c>
      <c r="K61" s="3">
        <f t="shared" ca="1" si="6"/>
        <v>-0.62833788651300893</v>
      </c>
      <c r="L61" s="3"/>
    </row>
    <row r="62" spans="1:12" x14ac:dyDescent="0.3">
      <c r="A62">
        <v>60</v>
      </c>
      <c r="B62" s="2">
        <f t="shared" si="0"/>
        <v>623.05295950155767</v>
      </c>
      <c r="C62" s="2">
        <f t="shared" si="1"/>
        <v>3.0488328810752414E-3</v>
      </c>
      <c r="D62" s="2">
        <f t="shared" si="2"/>
        <v>54.844363419265846</v>
      </c>
      <c r="E62" s="3">
        <f t="shared" si="7"/>
        <v>130.71985415467853</v>
      </c>
      <c r="F62" cm="1">
        <f t="array" aca="1" ref="F62" ca="1">INDEX($O$2:$O$34,INT(A62/$Z$1)+1)</f>
        <v>145.05341339997875</v>
      </c>
      <c r="G62" cm="1">
        <f t="array" aca="1" ref="G62" ca="1">INDEX($O$2:$O$34,INT(A62/$Z$1)+2)</f>
        <v>129.26077113326943</v>
      </c>
      <c r="H62">
        <f t="shared" ca="1" si="3"/>
        <v>-0.49352007083466631</v>
      </c>
      <c r="I62">
        <f t="shared" ca="1" si="4"/>
        <v>-13.818561983370657</v>
      </c>
      <c r="J62" s="3">
        <f t="shared" ca="1" si="5"/>
        <v>131.23485141660808</v>
      </c>
      <c r="K62" s="3">
        <f t="shared" ca="1" si="6"/>
        <v>-0.51499726192955109</v>
      </c>
      <c r="L62" s="3"/>
    </row>
    <row r="63" spans="1:12" x14ac:dyDescent="0.3">
      <c r="A63">
        <v>61</v>
      </c>
      <c r="B63" s="2">
        <f t="shared" si="0"/>
        <v>634.09563409563407</v>
      </c>
      <c r="C63" s="2">
        <f t="shared" si="1"/>
        <v>3.0507644759395062E-3</v>
      </c>
      <c r="D63" s="2">
        <f t="shared" si="2"/>
        <v>54.636693429371462</v>
      </c>
      <c r="E63" s="3">
        <f t="shared" si="7"/>
        <v>130.34604817286862</v>
      </c>
      <c r="F63" cm="1">
        <f t="array" aca="1" ref="F63" ca="1">INDEX($O$2:$O$34,INT(A63/$Z$1)+1)</f>
        <v>145.05341339997875</v>
      </c>
      <c r="G63" cm="1">
        <f t="array" aca="1" ref="G63" ca="1">INDEX($O$2:$O$34,INT(A63/$Z$1)+2)</f>
        <v>129.26077113326943</v>
      </c>
      <c r="H63">
        <f t="shared" ca="1" si="3"/>
        <v>-0.49352007083466631</v>
      </c>
      <c r="I63">
        <f t="shared" ca="1" si="4"/>
        <v>-14.312082054205323</v>
      </c>
      <c r="J63" s="3">
        <f t="shared" ca="1" si="5"/>
        <v>130.74133134577343</v>
      </c>
      <c r="K63" s="3">
        <f t="shared" ca="1" si="6"/>
        <v>-0.39528317290481141</v>
      </c>
      <c r="L63" s="3"/>
    </row>
    <row r="64" spans="1:12" x14ac:dyDescent="0.3">
      <c r="A64">
        <v>62</v>
      </c>
      <c r="B64" s="2">
        <f t="shared" si="0"/>
        <v>645.16129032258061</v>
      </c>
      <c r="C64" s="2">
        <f t="shared" si="1"/>
        <v>3.0526666376753933E-3</v>
      </c>
      <c r="D64" s="2">
        <f t="shared" si="2"/>
        <v>54.432444692192291</v>
      </c>
      <c r="E64" s="3">
        <f t="shared" si="7"/>
        <v>129.97840044594614</v>
      </c>
      <c r="F64" cm="1">
        <f t="array" aca="1" ref="F64" ca="1">INDEX($O$2:$O$34,INT(A64/$Z$1)+1)</f>
        <v>145.05341339997875</v>
      </c>
      <c r="G64" cm="1">
        <f t="array" aca="1" ref="G64" ca="1">INDEX($O$2:$O$34,INT(A64/$Z$1)+2)</f>
        <v>129.26077113326943</v>
      </c>
      <c r="H64">
        <f t="shared" ca="1" si="3"/>
        <v>-0.49352007083466631</v>
      </c>
      <c r="I64">
        <f t="shared" ca="1" si="4"/>
        <v>-14.805602125039989</v>
      </c>
      <c r="J64" s="3">
        <f t="shared" ca="1" si="5"/>
        <v>130.24781127493875</v>
      </c>
      <c r="K64" s="3">
        <f t="shared" ca="1" si="6"/>
        <v>-0.26941082899261914</v>
      </c>
      <c r="L64" s="3"/>
    </row>
    <row r="65" spans="1:12" x14ac:dyDescent="0.3">
      <c r="A65">
        <v>63</v>
      </c>
      <c r="B65" s="2">
        <f t="shared" si="0"/>
        <v>656.25</v>
      </c>
      <c r="C65" s="2">
        <f t="shared" si="1"/>
        <v>3.0545403122536983E-3</v>
      </c>
      <c r="D65" s="2">
        <f t="shared" si="2"/>
        <v>54.231503523907008</v>
      </c>
      <c r="E65" s="3">
        <f t="shared" si="7"/>
        <v>129.6167063430326</v>
      </c>
      <c r="F65" cm="1">
        <f t="array" aca="1" ref="F65" ca="1">INDEX($O$2:$O$34,INT(A65/$Z$1)+1)</f>
        <v>145.05341339997875</v>
      </c>
      <c r="G65" cm="1">
        <f t="array" aca="1" ref="G65" ca="1">INDEX($O$2:$O$34,INT(A65/$Z$1)+2)</f>
        <v>129.26077113326943</v>
      </c>
      <c r="H65">
        <f t="shared" ca="1" si="3"/>
        <v>-0.49352007083466631</v>
      </c>
      <c r="I65">
        <f t="shared" ca="1" si="4"/>
        <v>-15.299122195874656</v>
      </c>
      <c r="J65" s="3">
        <f t="shared" ca="1" si="5"/>
        <v>129.75429120410411</v>
      </c>
      <c r="K65" s="3">
        <f t="shared" ca="1" si="6"/>
        <v>-0.13758486107150247</v>
      </c>
      <c r="L65" s="3"/>
    </row>
    <row r="66" spans="1:12" x14ac:dyDescent="0.3">
      <c r="A66">
        <v>64</v>
      </c>
      <c r="B66" s="2">
        <f t="shared" ref="B66:B129" si="8">$T$1*A66/($V$1-A66)</f>
        <v>667.3618352450469</v>
      </c>
      <c r="C66" s="2">
        <f t="shared" ref="C66:C129" si="9">LOG(B66/$T$2)/$T$3 + (1/$X$2)</f>
        <v>3.0563864009623591E-3</v>
      </c>
      <c r="D66" s="2">
        <f t="shared" ref="D66:D129" si="10">1/C66 - 273.15</f>
        <v>54.033761740705245</v>
      </c>
      <c r="E66" s="3">
        <f t="shared" si="7"/>
        <v>129.26077113326943</v>
      </c>
      <c r="F66" cm="1">
        <f t="array" aca="1" ref="F66" ca="1">INDEX($O$2:$O$34,INT(A66/$Z$1)+1)</f>
        <v>129.26077113326943</v>
      </c>
      <c r="G66" cm="1">
        <f t="array" aca="1" ref="G66" ca="1">INDEX($O$2:$O$34,INT(A66/$Z$1)+2)</f>
        <v>120.0965668004326</v>
      </c>
      <c r="H66">
        <f t="shared" ca="1" si="3"/>
        <v>-0.28638138540115099</v>
      </c>
      <c r="I66">
        <f t="shared" ca="1" si="4"/>
        <v>0</v>
      </c>
      <c r="J66" s="3">
        <f t="shared" ca="1" si="5"/>
        <v>129.26077113326943</v>
      </c>
      <c r="K66" s="3">
        <f t="shared" ca="1" si="6"/>
        <v>0</v>
      </c>
      <c r="L66" s="3"/>
    </row>
    <row r="67" spans="1:12" x14ac:dyDescent="0.3">
      <c r="A67">
        <v>65</v>
      </c>
      <c r="B67" s="2">
        <f t="shared" si="8"/>
        <v>678.49686847599162</v>
      </c>
      <c r="C67" s="2">
        <f t="shared" si="9"/>
        <v>3.0582057631778244E-3</v>
      </c>
      <c r="D67" s="2">
        <f t="shared" si="10"/>
        <v>53.839116311417229</v>
      </c>
      <c r="E67" s="3">
        <f t="shared" si="7"/>
        <v>128.910409360551</v>
      </c>
      <c r="F67" cm="1">
        <f t="array" aca="1" ref="F67" ca="1">INDEX($O$2:$O$34,INT(A67/$Z$1)+1)</f>
        <v>129.26077113326943</v>
      </c>
      <c r="G67" cm="1">
        <f t="array" aca="1" ref="G67" ca="1">INDEX($O$2:$O$34,INT(A67/$Z$1)+2)</f>
        <v>120.0965668004326</v>
      </c>
      <c r="H67">
        <f t="shared" ref="H67:H130" ca="1" si="11">(G67-F67)/$Z$1</f>
        <v>-0.28638138540115099</v>
      </c>
      <c r="I67">
        <f t="shared" ref="I67:I130" ca="1" si="12">H67*MOD(A67,$Z$1)</f>
        <v>-0.28638138540115099</v>
      </c>
      <c r="J67" s="3">
        <f t="shared" ref="J67:J130" ca="1" si="13">F67+I67</f>
        <v>128.97438974786829</v>
      </c>
      <c r="K67" s="3">
        <f t="shared" ref="K67:K130" ca="1" si="14">E67-J67</f>
        <v>-6.3980387317286613E-2</v>
      </c>
      <c r="L67" s="3"/>
    </row>
    <row r="68" spans="1:12" x14ac:dyDescent="0.3">
      <c r="A68">
        <v>66</v>
      </c>
      <c r="B68" s="2">
        <f t="shared" si="8"/>
        <v>689.65517241379314</v>
      </c>
      <c r="C68" s="2">
        <f t="shared" si="9"/>
        <v>3.0599992189248404E-3</v>
      </c>
      <c r="D68" s="2">
        <f t="shared" si="10"/>
        <v>53.647469037054066</v>
      </c>
      <c r="E68" s="3">
        <f t="shared" ref="E68:E131" si="15">D68*9/5 + 32</f>
        <v>128.56544426669731</v>
      </c>
      <c r="F68" cm="1">
        <f t="array" aca="1" ref="F68" ca="1">INDEX($O$2:$O$34,INT(A68/$Z$1)+1)</f>
        <v>129.26077113326943</v>
      </c>
      <c r="G68" cm="1">
        <f t="array" aca="1" ref="G68" ca="1">INDEX($O$2:$O$34,INT(A68/$Z$1)+2)</f>
        <v>120.0965668004326</v>
      </c>
      <c r="H68">
        <f t="shared" ca="1" si="11"/>
        <v>-0.28638138540115099</v>
      </c>
      <c r="I68">
        <f t="shared" ca="1" si="12"/>
        <v>-0.57276277080230198</v>
      </c>
      <c r="J68" s="3">
        <f t="shared" ca="1" si="13"/>
        <v>128.68800836246712</v>
      </c>
      <c r="K68" s="3">
        <f t="shared" ca="1" si="14"/>
        <v>-0.12256409576980332</v>
      </c>
      <c r="L68" s="3"/>
    </row>
    <row r="69" spans="1:12" x14ac:dyDescent="0.3">
      <c r="A69">
        <v>67</v>
      </c>
      <c r="B69" s="2">
        <f t="shared" si="8"/>
        <v>700.83682008368203</v>
      </c>
      <c r="C69" s="2">
        <f t="shared" si="9"/>
        <v>3.061767551243752E-3</v>
      </c>
      <c r="D69" s="2">
        <f t="shared" si="10"/>
        <v>53.458726254800069</v>
      </c>
      <c r="E69" s="3">
        <f t="shared" si="15"/>
        <v>128.22570725864011</v>
      </c>
      <c r="F69" cm="1">
        <f t="array" aca="1" ref="F69" ca="1">INDEX($O$2:$O$34,INT(A69/$Z$1)+1)</f>
        <v>129.26077113326943</v>
      </c>
      <c r="G69" cm="1">
        <f t="array" aca="1" ref="G69" ca="1">INDEX($O$2:$O$34,INT(A69/$Z$1)+2)</f>
        <v>120.0965668004326</v>
      </c>
      <c r="H69">
        <f t="shared" ca="1" si="11"/>
        <v>-0.28638138540115099</v>
      </c>
      <c r="I69">
        <f t="shared" ca="1" si="12"/>
        <v>-0.85914415620345297</v>
      </c>
      <c r="J69" s="3">
        <f t="shared" ca="1" si="13"/>
        <v>128.40162697706597</v>
      </c>
      <c r="K69" s="3">
        <f t="shared" ca="1" si="14"/>
        <v>-0.17591971842585963</v>
      </c>
      <c r="L69" s="3"/>
    </row>
    <row r="70" spans="1:12" x14ac:dyDescent="0.3">
      <c r="A70">
        <v>68</v>
      </c>
      <c r="B70" s="2">
        <f t="shared" si="8"/>
        <v>712.04188481675396</v>
      </c>
      <c r="C70" s="2">
        <f t="shared" si="9"/>
        <v>3.0635115083824265E-3</v>
      </c>
      <c r="D70" s="2">
        <f t="shared" si="10"/>
        <v>53.272798564257016</v>
      </c>
      <c r="E70" s="3">
        <f t="shared" si="15"/>
        <v>127.89103741566262</v>
      </c>
      <c r="F70" cm="1">
        <f t="array" aca="1" ref="F70" ca="1">INDEX($O$2:$O$34,INT(A70/$Z$1)+1)</f>
        <v>129.26077113326943</v>
      </c>
      <c r="G70" cm="1">
        <f t="array" aca="1" ref="G70" ca="1">INDEX($O$2:$O$34,INT(A70/$Z$1)+2)</f>
        <v>120.0965668004326</v>
      </c>
      <c r="H70">
        <f t="shared" ca="1" si="11"/>
        <v>-0.28638138540115099</v>
      </c>
      <c r="I70">
        <f t="shared" ca="1" si="12"/>
        <v>-1.145525541604604</v>
      </c>
      <c r="J70" s="3">
        <f t="shared" ca="1" si="13"/>
        <v>128.11524559166483</v>
      </c>
      <c r="K70" s="3">
        <f t="shared" ca="1" si="14"/>
        <v>-0.22420817600220744</v>
      </c>
      <c r="L70" s="3"/>
    </row>
    <row r="71" spans="1:12" x14ac:dyDescent="0.3">
      <c r="A71">
        <v>69</v>
      </c>
      <c r="B71" s="2">
        <f t="shared" si="8"/>
        <v>723.27044025157238</v>
      </c>
      <c r="C71" s="2">
        <f t="shared" si="9"/>
        <v>3.0652318058281658E-3</v>
      </c>
      <c r="D71" s="2">
        <f t="shared" si="10"/>
        <v>53.089600573966891</v>
      </c>
      <c r="E71" s="3">
        <f t="shared" si="15"/>
        <v>127.5612810331404</v>
      </c>
      <c r="F71" cm="1">
        <f t="array" aca="1" ref="F71" ca="1">INDEX($O$2:$O$34,INT(A71/$Z$1)+1)</f>
        <v>129.26077113326943</v>
      </c>
      <c r="G71" cm="1">
        <f t="array" aca="1" ref="G71" ca="1">INDEX($O$2:$O$34,INT(A71/$Z$1)+2)</f>
        <v>120.0965668004326</v>
      </c>
      <c r="H71">
        <f t="shared" ca="1" si="11"/>
        <v>-0.28638138540115099</v>
      </c>
      <c r="I71">
        <f t="shared" ca="1" si="12"/>
        <v>-1.4319069270057549</v>
      </c>
      <c r="J71" s="3">
        <f t="shared" ca="1" si="13"/>
        <v>127.82886420626367</v>
      </c>
      <c r="K71" s="3">
        <f t="shared" ca="1" si="14"/>
        <v>-0.26758317312327051</v>
      </c>
      <c r="L71" s="3"/>
    </row>
    <row r="72" spans="1:12" x14ac:dyDescent="0.3">
      <c r="A72">
        <v>70</v>
      </c>
      <c r="B72" s="2">
        <f t="shared" si="8"/>
        <v>734.52256033578169</v>
      </c>
      <c r="C72" s="2">
        <f t="shared" si="9"/>
        <v>3.0669291281934241E-3</v>
      </c>
      <c r="D72" s="2">
        <f t="shared" si="10"/>
        <v>52.909050666439896</v>
      </c>
      <c r="E72" s="3">
        <f t="shared" si="15"/>
        <v>127.23629119959182</v>
      </c>
      <c r="F72" cm="1">
        <f t="array" aca="1" ref="F72" ca="1">INDEX($O$2:$O$34,INT(A72/$Z$1)+1)</f>
        <v>129.26077113326943</v>
      </c>
      <c r="G72" cm="1">
        <f t="array" aca="1" ref="G72" ca="1">INDEX($O$2:$O$34,INT(A72/$Z$1)+2)</f>
        <v>120.0965668004326</v>
      </c>
      <c r="H72">
        <f t="shared" ca="1" si="11"/>
        <v>-0.28638138540115099</v>
      </c>
      <c r="I72">
        <f t="shared" ca="1" si="12"/>
        <v>-1.7182883124069059</v>
      </c>
      <c r="J72" s="3">
        <f t="shared" ca="1" si="13"/>
        <v>127.54248282086252</v>
      </c>
      <c r="K72" s="3">
        <f t="shared" ca="1" si="14"/>
        <v>-0.30619162127069899</v>
      </c>
      <c r="L72" s="3"/>
    </row>
    <row r="73" spans="1:12" x14ac:dyDescent="0.3">
      <c r="A73">
        <v>71</v>
      </c>
      <c r="B73" s="2">
        <f t="shared" si="8"/>
        <v>745.79831932773106</v>
      </c>
      <c r="C73" s="2">
        <f t="shared" si="9"/>
        <v>3.0686041309677709E-3</v>
      </c>
      <c r="D73" s="2">
        <f t="shared" si="10"/>
        <v>52.731070780095024</v>
      </c>
      <c r="E73" s="3">
        <f t="shared" si="15"/>
        <v>126.91592740417104</v>
      </c>
      <c r="F73" cm="1">
        <f t="array" aca="1" ref="F73" ca="1">INDEX($O$2:$O$34,INT(A73/$Z$1)+1)</f>
        <v>129.26077113326943</v>
      </c>
      <c r="G73" cm="1">
        <f t="array" aca="1" ref="G73" ca="1">INDEX($O$2:$O$34,INT(A73/$Z$1)+2)</f>
        <v>120.0965668004326</v>
      </c>
      <c r="H73">
        <f t="shared" ca="1" si="11"/>
        <v>-0.28638138540115099</v>
      </c>
      <c r="I73">
        <f t="shared" ca="1" si="12"/>
        <v>-2.0046696978080569</v>
      </c>
      <c r="J73" s="3">
        <f t="shared" ca="1" si="13"/>
        <v>127.25610143546137</v>
      </c>
      <c r="K73" s="3">
        <f t="shared" ca="1" si="14"/>
        <v>-0.34017403129033141</v>
      </c>
      <c r="L73" s="3"/>
    </row>
    <row r="74" spans="1:12" x14ac:dyDescent="0.3">
      <c r="A74">
        <v>72</v>
      </c>
      <c r="B74" s="2">
        <f t="shared" si="8"/>
        <v>757.09779179810721</v>
      </c>
      <c r="C74" s="2">
        <f t="shared" si="9"/>
        <v>3.070257442147329E-3</v>
      </c>
      <c r="D74" s="2">
        <f t="shared" si="10"/>
        <v>52.555586206674263</v>
      </c>
      <c r="E74" s="3">
        <f t="shared" si="15"/>
        <v>126.60005517201367</v>
      </c>
      <c r="F74" cm="1">
        <f t="array" aca="1" ref="F74" ca="1">INDEX($O$2:$O$34,INT(A74/$Z$1)+1)</f>
        <v>129.26077113326943</v>
      </c>
      <c r="G74" cm="1">
        <f t="array" aca="1" ref="G74" ca="1">INDEX($O$2:$O$34,INT(A74/$Z$1)+2)</f>
        <v>120.0965668004326</v>
      </c>
      <c r="H74">
        <f t="shared" ca="1" si="11"/>
        <v>-0.28638138540115099</v>
      </c>
      <c r="I74">
        <f t="shared" ca="1" si="12"/>
        <v>-2.2910510832092079</v>
      </c>
      <c r="J74" s="3">
        <f t="shared" ca="1" si="13"/>
        <v>126.96972005006022</v>
      </c>
      <c r="K74" s="3">
        <f t="shared" ca="1" si="14"/>
        <v>-0.36966487804654946</v>
      </c>
      <c r="L74" s="3"/>
    </row>
    <row r="75" spans="1:12" x14ac:dyDescent="0.3">
      <c r="A75">
        <v>73</v>
      </c>
      <c r="B75" s="2">
        <f t="shared" si="8"/>
        <v>768.42105263157896</v>
      </c>
      <c r="C75" s="2">
        <f t="shared" si="9"/>
        <v>3.0718896637518234E-3</v>
      </c>
      <c r="D75" s="2">
        <f t="shared" si="10"/>
        <v>52.382525402836109</v>
      </c>
      <c r="E75" s="3">
        <f t="shared" si="15"/>
        <v>126.288545725105</v>
      </c>
      <c r="F75" cm="1">
        <f t="array" aca="1" ref="F75" ca="1">INDEX($O$2:$O$34,INT(A75/$Z$1)+1)</f>
        <v>129.26077113326943</v>
      </c>
      <c r="G75" cm="1">
        <f t="array" aca="1" ref="G75" ca="1">INDEX($O$2:$O$34,INT(A75/$Z$1)+2)</f>
        <v>120.0965668004326</v>
      </c>
      <c r="H75">
        <f t="shared" ca="1" si="11"/>
        <v>-0.28638138540115099</v>
      </c>
      <c r="I75">
        <f t="shared" ca="1" si="12"/>
        <v>-2.5774324686103589</v>
      </c>
      <c r="J75" s="3">
        <f t="shared" ca="1" si="13"/>
        <v>126.68333866465908</v>
      </c>
      <c r="K75" s="3">
        <f t="shared" ca="1" si="14"/>
        <v>-0.39479293955407968</v>
      </c>
      <c r="L75" s="3"/>
    </row>
    <row r="76" spans="1:12" x14ac:dyDescent="0.3">
      <c r="A76">
        <v>74</v>
      </c>
      <c r="B76" s="2">
        <f t="shared" si="8"/>
        <v>779.76817702845096</v>
      </c>
      <c r="C76" s="2">
        <f t="shared" si="9"/>
        <v>3.0735013732384247E-3</v>
      </c>
      <c r="D76" s="2">
        <f t="shared" si="10"/>
        <v>52.211819814754222</v>
      </c>
      <c r="E76" s="3">
        <f t="shared" si="15"/>
        <v>125.98127566655759</v>
      </c>
      <c r="F76" cm="1">
        <f t="array" aca="1" ref="F76" ca="1">INDEX($O$2:$O$34,INT(A76/$Z$1)+1)</f>
        <v>129.26077113326943</v>
      </c>
      <c r="G76" cm="1">
        <f t="array" aca="1" ref="G76" ca="1">INDEX($O$2:$O$34,INT(A76/$Z$1)+2)</f>
        <v>120.0965668004326</v>
      </c>
      <c r="H76">
        <f t="shared" ca="1" si="11"/>
        <v>-0.28638138540115099</v>
      </c>
      <c r="I76">
        <f t="shared" ca="1" si="12"/>
        <v>-2.8638138540115099</v>
      </c>
      <c r="J76" s="3">
        <f t="shared" ca="1" si="13"/>
        <v>126.39695727925792</v>
      </c>
      <c r="K76" s="3">
        <f t="shared" ca="1" si="14"/>
        <v>-0.41568161270032533</v>
      </c>
      <c r="L76" s="3"/>
    </row>
    <row r="77" spans="1:12" x14ac:dyDescent="0.3">
      <c r="A77">
        <v>75</v>
      </c>
      <c r="B77" s="2">
        <f t="shared" si="8"/>
        <v>791.13924050632909</v>
      </c>
      <c r="C77" s="2">
        <f t="shared" si="9"/>
        <v>3.0750931248206908E-3</v>
      </c>
      <c r="D77" s="2">
        <f t="shared" si="10"/>
        <v>52.043403714663214</v>
      </c>
      <c r="E77" s="3">
        <f t="shared" si="15"/>
        <v>125.67812668639378</v>
      </c>
      <c r="F77" cm="1">
        <f t="array" aca="1" ref="F77" ca="1">INDEX($O$2:$O$34,INT(A77/$Z$1)+1)</f>
        <v>129.26077113326943</v>
      </c>
      <c r="G77" cm="1">
        <f t="array" aca="1" ref="G77" ca="1">INDEX($O$2:$O$34,INT(A77/$Z$1)+2)</f>
        <v>120.0965668004326</v>
      </c>
      <c r="H77">
        <f t="shared" ca="1" si="11"/>
        <v>-0.28638138540115099</v>
      </c>
      <c r="I77">
        <f t="shared" ca="1" si="12"/>
        <v>-3.1501952394126609</v>
      </c>
      <c r="J77" s="3">
        <f t="shared" ca="1" si="13"/>
        <v>126.11057589385676</v>
      </c>
      <c r="K77" s="3">
        <f t="shared" ca="1" si="14"/>
        <v>-0.43244920746298021</v>
      </c>
      <c r="L77" s="3"/>
    </row>
    <row r="78" spans="1:12" x14ac:dyDescent="0.3">
      <c r="A78">
        <v>76</v>
      </c>
      <c r="B78" s="2">
        <f t="shared" si="8"/>
        <v>802.53431890179513</v>
      </c>
      <c r="C78" s="2">
        <f t="shared" si="9"/>
        <v>3.0766654507001553E-3</v>
      </c>
      <c r="D78" s="2">
        <f t="shared" si="10"/>
        <v>51.877214048388169</v>
      </c>
      <c r="E78" s="3">
        <f t="shared" si="15"/>
        <v>125.3789852870987</v>
      </c>
      <c r="F78" cm="1">
        <f t="array" aca="1" ref="F78" ca="1">INDEX($O$2:$O$34,INT(A78/$Z$1)+1)</f>
        <v>129.26077113326943</v>
      </c>
      <c r="G78" cm="1">
        <f t="array" aca="1" ref="G78" ca="1">INDEX($O$2:$O$34,INT(A78/$Z$1)+2)</f>
        <v>120.0965668004326</v>
      </c>
      <c r="H78">
        <f t="shared" ca="1" si="11"/>
        <v>-0.28638138540115099</v>
      </c>
      <c r="I78">
        <f t="shared" ca="1" si="12"/>
        <v>-3.4365766248138119</v>
      </c>
      <c r="J78" s="3">
        <f t="shared" ca="1" si="13"/>
        <v>125.82419450845562</v>
      </c>
      <c r="K78" s="3">
        <f t="shared" ca="1" si="14"/>
        <v>-0.44520922135691876</v>
      </c>
      <c r="L78" s="3"/>
    </row>
    <row r="79" spans="1:12" x14ac:dyDescent="0.3">
      <c r="A79">
        <v>77</v>
      </c>
      <c r="B79" s="2">
        <f t="shared" si="8"/>
        <v>813.95348837209303</v>
      </c>
      <c r="C79" s="2">
        <f t="shared" si="9"/>
        <v>3.0782188622174135E-3</v>
      </c>
      <c r="D79" s="2">
        <f t="shared" si="10"/>
        <v>51.713190292987804</v>
      </c>
      <c r="E79" s="3">
        <f t="shared" si="15"/>
        <v>125.08374252737805</v>
      </c>
      <c r="F79" cm="1">
        <f t="array" aca="1" ref="F79" ca="1">INDEX($O$2:$O$34,INT(A79/$Z$1)+1)</f>
        <v>129.26077113326943</v>
      </c>
      <c r="G79" cm="1">
        <f t="array" aca="1" ref="G79" ca="1">INDEX($O$2:$O$34,INT(A79/$Z$1)+2)</f>
        <v>120.0965668004326</v>
      </c>
      <c r="H79">
        <f t="shared" ca="1" si="11"/>
        <v>-0.28638138540115099</v>
      </c>
      <c r="I79">
        <f t="shared" ca="1" si="12"/>
        <v>-3.7229580102149629</v>
      </c>
      <c r="J79" s="3">
        <f t="shared" ca="1" si="13"/>
        <v>125.53781312305446</v>
      </c>
      <c r="K79" s="3">
        <f t="shared" ca="1" si="14"/>
        <v>-0.45407059567641284</v>
      </c>
      <c r="L79" s="3"/>
    </row>
    <row r="80" spans="1:12" x14ac:dyDescent="0.3">
      <c r="A80">
        <v>78</v>
      </c>
      <c r="B80" s="2">
        <f t="shared" si="8"/>
        <v>825.39682539682542</v>
      </c>
      <c r="C80" s="2">
        <f t="shared" si="9"/>
        <v>3.0797538509289399E-3</v>
      </c>
      <c r="D80" s="2">
        <f t="shared" si="10"/>
        <v>51.551274323716541</v>
      </c>
      <c r="E80" s="3">
        <f t="shared" si="15"/>
        <v>124.79229378268977</v>
      </c>
      <c r="F80" cm="1">
        <f t="array" aca="1" ref="F80" ca="1">INDEX($O$2:$O$34,INT(A80/$Z$1)+1)</f>
        <v>129.26077113326943</v>
      </c>
      <c r="G80" cm="1">
        <f t="array" aca="1" ref="G80" ca="1">INDEX($O$2:$O$34,INT(A80/$Z$1)+2)</f>
        <v>120.0965668004326</v>
      </c>
      <c r="H80">
        <f t="shared" ca="1" si="11"/>
        <v>-0.28638138540115099</v>
      </c>
      <c r="I80">
        <f t="shared" ca="1" si="12"/>
        <v>-4.0093393956161139</v>
      </c>
      <c r="J80" s="3">
        <f t="shared" ca="1" si="13"/>
        <v>125.25143173765332</v>
      </c>
      <c r="K80" s="3">
        <f t="shared" ca="1" si="14"/>
        <v>-0.45913795496355192</v>
      </c>
      <c r="L80" s="3"/>
    </row>
    <row r="81" spans="1:12" x14ac:dyDescent="0.3">
      <c r="A81">
        <v>79</v>
      </c>
      <c r="B81" s="2">
        <f t="shared" si="8"/>
        <v>836.86440677966107</v>
      </c>
      <c r="C81" s="2">
        <f t="shared" si="9"/>
        <v>3.0812708896153082E-3</v>
      </c>
      <c r="D81" s="2">
        <f t="shared" si="10"/>
        <v>51.391410289586247</v>
      </c>
      <c r="E81" s="3">
        <f t="shared" si="15"/>
        <v>124.50453852125524</v>
      </c>
      <c r="F81" cm="1">
        <f t="array" aca="1" ref="F81" ca="1">INDEX($O$2:$O$34,INT(A81/$Z$1)+1)</f>
        <v>129.26077113326943</v>
      </c>
      <c r="G81" cm="1">
        <f t="array" aca="1" ref="G81" ca="1">INDEX($O$2:$O$34,INT(A81/$Z$1)+2)</f>
        <v>120.0965668004326</v>
      </c>
      <c r="H81">
        <f t="shared" ca="1" si="11"/>
        <v>-0.28638138540115099</v>
      </c>
      <c r="I81">
        <f t="shared" ca="1" si="12"/>
        <v>-4.2957207810172644</v>
      </c>
      <c r="J81" s="3">
        <f t="shared" ca="1" si="13"/>
        <v>124.96505035225216</v>
      </c>
      <c r="K81" s="3">
        <f t="shared" ca="1" si="14"/>
        <v>-0.46051183099692139</v>
      </c>
      <c r="L81" s="3"/>
    </row>
    <row r="82" spans="1:12" x14ac:dyDescent="0.3">
      <c r="A82">
        <v>80</v>
      </c>
      <c r="B82" s="2">
        <f t="shared" si="8"/>
        <v>848.35630965005305</v>
      </c>
      <c r="C82" s="2">
        <f t="shared" si="9"/>
        <v>3.0827704332260027E-3</v>
      </c>
      <c r="D82" s="2">
        <f t="shared" si="10"/>
        <v>51.233544496869285</v>
      </c>
      <c r="E82" s="3">
        <f t="shared" si="15"/>
        <v>124.22038009436471</v>
      </c>
      <c r="F82" cm="1">
        <f t="array" aca="1" ref="F82" ca="1">INDEX($O$2:$O$34,INT(A82/$Z$1)+1)</f>
        <v>129.26077113326943</v>
      </c>
      <c r="G82" cm="1">
        <f t="array" aca="1" ref="G82" ca="1">INDEX($O$2:$O$34,INT(A82/$Z$1)+2)</f>
        <v>120.0965668004326</v>
      </c>
      <c r="H82">
        <f t="shared" ca="1" si="11"/>
        <v>-0.28638138540115099</v>
      </c>
      <c r="I82">
        <f t="shared" ca="1" si="12"/>
        <v>-4.5821021664184158</v>
      </c>
      <c r="J82" s="3">
        <f t="shared" ca="1" si="13"/>
        <v>124.67866896685101</v>
      </c>
      <c r="K82" s="3">
        <f t="shared" ca="1" si="14"/>
        <v>-0.45828887248629258</v>
      </c>
      <c r="L82" s="3"/>
    </row>
    <row r="83" spans="1:12" x14ac:dyDescent="0.3">
      <c r="A83">
        <v>81</v>
      </c>
      <c r="B83" s="2">
        <f t="shared" si="8"/>
        <v>859.87261146496814</v>
      </c>
      <c r="C83" s="2">
        <f t="shared" si="9"/>
        <v>3.0842529197655359E-3</v>
      </c>
      <c r="D83" s="2">
        <f t="shared" si="10"/>
        <v>51.077625299944543</v>
      </c>
      <c r="E83" s="3">
        <f t="shared" si="15"/>
        <v>123.93972553990018</v>
      </c>
      <c r="F83" cm="1">
        <f t="array" aca="1" ref="F83" ca="1">INDEX($O$2:$O$34,INT(A83/$Z$1)+1)</f>
        <v>129.26077113326943</v>
      </c>
      <c r="G83" cm="1">
        <f t="array" aca="1" ref="G83" ca="1">INDEX($O$2:$O$34,INT(A83/$Z$1)+2)</f>
        <v>120.0965668004326</v>
      </c>
      <c r="H83">
        <f t="shared" ca="1" si="11"/>
        <v>-0.28638138540115099</v>
      </c>
      <c r="I83">
        <f t="shared" ca="1" si="12"/>
        <v>-4.8684835518195673</v>
      </c>
      <c r="J83" s="3">
        <f t="shared" ca="1" si="13"/>
        <v>124.39228758144986</v>
      </c>
      <c r="K83" s="3">
        <f t="shared" ca="1" si="14"/>
        <v>-0.45256204154968316</v>
      </c>
      <c r="L83" s="3"/>
    </row>
    <row r="84" spans="1:12" x14ac:dyDescent="0.3">
      <c r="A84">
        <v>82</v>
      </c>
      <c r="B84" s="2">
        <f t="shared" si="8"/>
        <v>871.41339001062704</v>
      </c>
      <c r="C84" s="2">
        <f t="shared" si="9"/>
        <v>3.0857187711252035E-3</v>
      </c>
      <c r="D84" s="2">
        <f t="shared" si="10"/>
        <v>50.923602998938009</v>
      </c>
      <c r="E84" s="3">
        <f t="shared" si="15"/>
        <v>123.66248539808842</v>
      </c>
      <c r="F84" cm="1">
        <f t="array" aca="1" ref="F84" ca="1">INDEX($O$2:$O$34,INT(A84/$Z$1)+1)</f>
        <v>129.26077113326943</v>
      </c>
      <c r="G84" cm="1">
        <f t="array" aca="1" ref="G84" ca="1">INDEX($O$2:$O$34,INT(A84/$Z$1)+2)</f>
        <v>120.0965668004326</v>
      </c>
      <c r="H84">
        <f t="shared" ca="1" si="11"/>
        <v>-0.28638138540115099</v>
      </c>
      <c r="I84">
        <f t="shared" ca="1" si="12"/>
        <v>-5.1548649372207178</v>
      </c>
      <c r="J84" s="3">
        <f t="shared" ca="1" si="13"/>
        <v>124.10590619604871</v>
      </c>
      <c r="K84" s="3">
        <f t="shared" ca="1" si="14"/>
        <v>-0.443420797960286</v>
      </c>
      <c r="L84" s="3"/>
    </row>
    <row r="85" spans="1:12" x14ac:dyDescent="0.3">
      <c r="A85">
        <v>83</v>
      </c>
      <c r="B85" s="2">
        <f t="shared" si="8"/>
        <v>882.97872340425533</v>
      </c>
      <c r="C85" s="2">
        <f t="shared" si="9"/>
        <v>3.0871683938644228E-3</v>
      </c>
      <c r="D85" s="2">
        <f t="shared" si="10"/>
        <v>50.771429743659269</v>
      </c>
      <c r="E85" s="3">
        <f t="shared" si="15"/>
        <v>123.38857353858668</v>
      </c>
      <c r="F85" cm="1">
        <f t="array" aca="1" ref="F85" ca="1">INDEX($O$2:$O$34,INT(A85/$Z$1)+1)</f>
        <v>129.26077113326943</v>
      </c>
      <c r="G85" cm="1">
        <f t="array" aca="1" ref="G85" ca="1">INDEX($O$2:$O$34,INT(A85/$Z$1)+2)</f>
        <v>120.0965668004326</v>
      </c>
      <c r="H85">
        <f t="shared" ca="1" si="11"/>
        <v>-0.28638138540115099</v>
      </c>
      <c r="I85">
        <f t="shared" ca="1" si="12"/>
        <v>-5.4412463226218684</v>
      </c>
      <c r="J85" s="3">
        <f t="shared" ca="1" si="13"/>
        <v>123.81952481064756</v>
      </c>
      <c r="K85" s="3">
        <f t="shared" ca="1" si="14"/>
        <v>-0.4309512720608808</v>
      </c>
      <c r="L85" s="3"/>
    </row>
    <row r="86" spans="1:12" x14ac:dyDescent="0.3">
      <c r="A86">
        <v>84</v>
      </c>
      <c r="B86" s="2">
        <f t="shared" si="8"/>
        <v>894.56869009584659</v>
      </c>
      <c r="C86" s="2">
        <f t="shared" si="9"/>
        <v>3.0886021799452824E-3</v>
      </c>
      <c r="D86" s="2">
        <f t="shared" si="10"/>
        <v>50.62105944337452</v>
      </c>
      <c r="E86" s="3">
        <f t="shared" si="15"/>
        <v>123.11790699807413</v>
      </c>
      <c r="F86" cm="1">
        <f t="array" aca="1" ref="F86" ca="1">INDEX($O$2:$O$34,INT(A86/$Z$1)+1)</f>
        <v>129.26077113326943</v>
      </c>
      <c r="G86" cm="1">
        <f t="array" aca="1" ref="G86" ca="1">INDEX($O$2:$O$34,INT(A86/$Z$1)+2)</f>
        <v>120.0965668004326</v>
      </c>
      <c r="H86">
        <f t="shared" ca="1" si="11"/>
        <v>-0.28638138540115099</v>
      </c>
      <c r="I86">
        <f t="shared" ca="1" si="12"/>
        <v>-5.7276277080230198</v>
      </c>
      <c r="J86" s="3">
        <f t="shared" ca="1" si="13"/>
        <v>123.53314342524641</v>
      </c>
      <c r="K86" s="3">
        <f t="shared" ca="1" si="14"/>
        <v>-0.4152364271722746</v>
      </c>
      <c r="L86" s="3"/>
    </row>
    <row r="87" spans="1:12" x14ac:dyDescent="0.3">
      <c r="A87">
        <v>85</v>
      </c>
      <c r="B87" s="2">
        <f t="shared" si="8"/>
        <v>906.18336886993609</v>
      </c>
      <c r="C87" s="2">
        <f t="shared" si="9"/>
        <v>3.0900205074236263E-3</v>
      </c>
      <c r="D87" s="2">
        <f t="shared" si="10"/>
        <v>50.472447681996925</v>
      </c>
      <c r="E87" s="3">
        <f t="shared" si="15"/>
        <v>122.85040582759447</v>
      </c>
      <c r="F87" cm="1">
        <f t="array" aca="1" ref="F87" ca="1">INDEX($O$2:$O$34,INT(A87/$Z$1)+1)</f>
        <v>129.26077113326943</v>
      </c>
      <c r="G87" cm="1">
        <f t="array" aca="1" ref="G87" ca="1">INDEX($O$2:$O$34,INT(A87/$Z$1)+2)</f>
        <v>120.0965668004326</v>
      </c>
      <c r="H87">
        <f t="shared" ca="1" si="11"/>
        <v>-0.28638138540115099</v>
      </c>
      <c r="I87">
        <f t="shared" ca="1" si="12"/>
        <v>-6.0140090934241712</v>
      </c>
      <c r="J87" s="3">
        <f t="shared" ca="1" si="13"/>
        <v>123.24676203984527</v>
      </c>
      <c r="K87" s="3">
        <f t="shared" ca="1" si="14"/>
        <v>-0.39635621225079376</v>
      </c>
      <c r="L87" s="3"/>
    </row>
    <row r="88" spans="1:12" x14ac:dyDescent="0.3">
      <c r="A88">
        <v>86</v>
      </c>
      <c r="B88" s="2">
        <f t="shared" si="8"/>
        <v>917.82283884738524</v>
      </c>
      <c r="C88" s="2">
        <f t="shared" si="9"/>
        <v>3.0914237410997174E-3</v>
      </c>
      <c r="D88" s="2">
        <f t="shared" si="10"/>
        <v>50.325551638310287</v>
      </c>
      <c r="E88" s="3">
        <f t="shared" si="15"/>
        <v>122.58599294895852</v>
      </c>
      <c r="F88" cm="1">
        <f t="array" aca="1" ref="F88" ca="1">INDEX($O$2:$O$34,INT(A88/$Z$1)+1)</f>
        <v>129.26077113326943</v>
      </c>
      <c r="G88" cm="1">
        <f t="array" aca="1" ref="G88" ca="1">INDEX($O$2:$O$34,INT(A88/$Z$1)+2)</f>
        <v>120.0965668004326</v>
      </c>
      <c r="H88">
        <f t="shared" ca="1" si="11"/>
        <v>-0.28638138540115099</v>
      </c>
      <c r="I88">
        <f t="shared" ca="1" si="12"/>
        <v>-6.3003904788253218</v>
      </c>
      <c r="J88" s="3">
        <f t="shared" ca="1" si="13"/>
        <v>122.96038065444411</v>
      </c>
      <c r="K88" s="3">
        <f t="shared" ca="1" si="14"/>
        <v>-0.37438770548558864</v>
      </c>
      <c r="L88" s="3"/>
    </row>
    <row r="89" spans="1:12" x14ac:dyDescent="0.3">
      <c r="A89">
        <v>87</v>
      </c>
      <c r="B89" s="2">
        <f t="shared" si="8"/>
        <v>929.48717948717945</v>
      </c>
      <c r="C89" s="2">
        <f t="shared" si="9"/>
        <v>3.0928122331312933E-3</v>
      </c>
      <c r="D89" s="2">
        <f t="shared" si="10"/>
        <v>50.180330010871046</v>
      </c>
      <c r="E89" s="3">
        <f t="shared" si="15"/>
        <v>122.32459401956788</v>
      </c>
      <c r="F89" cm="1">
        <f t="array" aca="1" ref="F89" ca="1">INDEX($O$2:$O$34,INT(A89/$Z$1)+1)</f>
        <v>129.26077113326943</v>
      </c>
      <c r="G89" cm="1">
        <f t="array" aca="1" ref="G89" ca="1">INDEX($O$2:$O$34,INT(A89/$Z$1)+2)</f>
        <v>120.0965668004326</v>
      </c>
      <c r="H89">
        <f t="shared" ca="1" si="11"/>
        <v>-0.28638138540115099</v>
      </c>
      <c r="I89">
        <f t="shared" ca="1" si="12"/>
        <v>-6.5867718642264723</v>
      </c>
      <c r="J89" s="3">
        <f t="shared" ca="1" si="13"/>
        <v>122.67399926904295</v>
      </c>
      <c r="K89" s="3">
        <f t="shared" ca="1" si="14"/>
        <v>-0.34940524947506901</v>
      </c>
      <c r="L89" s="3"/>
    </row>
    <row r="90" spans="1:12" x14ac:dyDescent="0.3">
      <c r="A90">
        <v>88</v>
      </c>
      <c r="B90" s="2">
        <f t="shared" si="8"/>
        <v>941.17647058823525</v>
      </c>
      <c r="C90" s="2">
        <f t="shared" si="9"/>
        <v>3.0941863236115812E-3</v>
      </c>
      <c r="D90" s="2">
        <f t="shared" si="10"/>
        <v>50.036742947265338</v>
      </c>
      <c r="E90" s="3">
        <f t="shared" si="15"/>
        <v>122.0661373050776</v>
      </c>
      <c r="F90" cm="1">
        <f t="array" aca="1" ref="F90" ca="1">INDEX($O$2:$O$34,INT(A90/$Z$1)+1)</f>
        <v>129.26077113326943</v>
      </c>
      <c r="G90" cm="1">
        <f t="array" aca="1" ref="G90" ca="1">INDEX($O$2:$O$34,INT(A90/$Z$1)+2)</f>
        <v>120.0965668004326</v>
      </c>
      <c r="H90">
        <f t="shared" ca="1" si="11"/>
        <v>-0.28638138540115099</v>
      </c>
      <c r="I90">
        <f t="shared" ca="1" si="12"/>
        <v>-6.8731532496276238</v>
      </c>
      <c r="J90" s="3">
        <f t="shared" ca="1" si="13"/>
        <v>122.38761788364181</v>
      </c>
      <c r="K90" s="3">
        <f t="shared" ca="1" si="14"/>
        <v>-0.32148057856420564</v>
      </c>
      <c r="L90" s="3"/>
    </row>
    <row r="91" spans="1:12" x14ac:dyDescent="0.3">
      <c r="A91">
        <v>89</v>
      </c>
      <c r="B91" s="2">
        <f t="shared" si="8"/>
        <v>952.89079229122058</v>
      </c>
      <c r="C91" s="2">
        <f t="shared" si="9"/>
        <v>3.0955463411146619E-3</v>
      </c>
      <c r="D91" s="2">
        <f t="shared" si="10"/>
        <v>49.894751977421322</v>
      </c>
      <c r="E91" s="3">
        <f t="shared" si="15"/>
        <v>121.81055355935838</v>
      </c>
      <c r="F91" cm="1">
        <f t="array" aca="1" ref="F91" ca="1">INDEX($O$2:$O$34,INT(A91/$Z$1)+1)</f>
        <v>129.26077113326943</v>
      </c>
      <c r="G91" cm="1">
        <f t="array" aca="1" ref="G91" ca="1">INDEX($O$2:$O$34,INT(A91/$Z$1)+2)</f>
        <v>120.0965668004326</v>
      </c>
      <c r="H91">
        <f t="shared" ca="1" si="11"/>
        <v>-0.28638138540115099</v>
      </c>
      <c r="I91">
        <f t="shared" ca="1" si="12"/>
        <v>-7.1595346350287752</v>
      </c>
      <c r="J91" s="3">
        <f t="shared" ca="1" si="13"/>
        <v>122.10123649824065</v>
      </c>
      <c r="K91" s="3">
        <f t="shared" ca="1" si="14"/>
        <v>-0.29068293888227004</v>
      </c>
      <c r="L91" s="3"/>
    </row>
    <row r="92" spans="1:12" x14ac:dyDescent="0.3">
      <c r="A92">
        <v>90</v>
      </c>
      <c r="B92" s="2">
        <f t="shared" si="8"/>
        <v>964.6302250803858</v>
      </c>
      <c r="C92" s="2">
        <f t="shared" si="9"/>
        <v>3.0968926032103592E-3</v>
      </c>
      <c r="D92" s="2">
        <f t="shared" si="10"/>
        <v>49.754319950701927</v>
      </c>
      <c r="E92" s="3">
        <f t="shared" si="15"/>
        <v>121.55777591126346</v>
      </c>
      <c r="F92" cm="1">
        <f t="array" aca="1" ref="F92" ca="1">INDEX($O$2:$O$34,INT(A92/$Z$1)+1)</f>
        <v>129.26077113326943</v>
      </c>
      <c r="G92" cm="1">
        <f t="array" aca="1" ref="G92" ca="1">INDEX($O$2:$O$34,INT(A92/$Z$1)+2)</f>
        <v>120.0965668004326</v>
      </c>
      <c r="H92">
        <f t="shared" ca="1" si="11"/>
        <v>-0.28638138540115099</v>
      </c>
      <c r="I92">
        <f t="shared" ca="1" si="12"/>
        <v>-7.4459160204299257</v>
      </c>
      <c r="J92" s="3">
        <f t="shared" ca="1" si="13"/>
        <v>121.81485511283951</v>
      </c>
      <c r="K92" s="3">
        <f t="shared" ca="1" si="14"/>
        <v>-0.25707920157604747</v>
      </c>
      <c r="L92" s="3"/>
    </row>
    <row r="93" spans="1:12" x14ac:dyDescent="0.3">
      <c r="A93">
        <v>91</v>
      </c>
      <c r="B93" s="2">
        <f t="shared" si="8"/>
        <v>976.3948497854077</v>
      </c>
      <c r="C93" s="2">
        <f t="shared" si="9"/>
        <v>3.0982254169506854E-3</v>
      </c>
      <c r="D93" s="2">
        <f t="shared" si="10"/>
        <v>49.61541097652389</v>
      </c>
      <c r="E93" s="3">
        <f t="shared" si="15"/>
        <v>121.30773975774301</v>
      </c>
      <c r="F93" cm="1">
        <f t="array" aca="1" ref="F93" ca="1">INDEX($O$2:$O$34,INT(A93/$Z$1)+1)</f>
        <v>129.26077113326943</v>
      </c>
      <c r="G93" cm="1">
        <f t="array" aca="1" ref="G93" ca="1">INDEX($O$2:$O$34,INT(A93/$Z$1)+2)</f>
        <v>120.0965668004326</v>
      </c>
      <c r="H93">
        <f t="shared" ca="1" si="11"/>
        <v>-0.28638138540115099</v>
      </c>
      <c r="I93">
        <f t="shared" ca="1" si="12"/>
        <v>-7.7322974058310763</v>
      </c>
      <c r="J93" s="3">
        <f t="shared" ca="1" si="13"/>
        <v>121.52847372743835</v>
      </c>
      <c r="K93" s="3">
        <f t="shared" ca="1" si="14"/>
        <v>-0.22073396969534542</v>
      </c>
      <c r="L93" s="3"/>
    </row>
    <row r="94" spans="1:12" x14ac:dyDescent="0.3">
      <c r="A94">
        <v>92</v>
      </c>
      <c r="B94" s="2">
        <f t="shared" si="8"/>
        <v>988.18474758324385</v>
      </c>
      <c r="C94" s="2">
        <f t="shared" si="9"/>
        <v>3.0995450793296982E-3</v>
      </c>
      <c r="D94" s="2">
        <f t="shared" si="10"/>
        <v>49.477990368269843</v>
      </c>
      <c r="E94" s="3">
        <f t="shared" si="15"/>
        <v>121.06038266288571</v>
      </c>
      <c r="F94" cm="1">
        <f t="array" aca="1" ref="F94" ca="1">INDEX($O$2:$O$34,INT(A94/$Z$1)+1)</f>
        <v>129.26077113326943</v>
      </c>
      <c r="G94" cm="1">
        <f t="array" aca="1" ref="G94" ca="1">INDEX($O$2:$O$34,INT(A94/$Z$1)+2)</f>
        <v>120.0965668004326</v>
      </c>
      <c r="H94">
        <f t="shared" ca="1" si="11"/>
        <v>-0.28638138540115099</v>
      </c>
      <c r="I94">
        <f t="shared" ca="1" si="12"/>
        <v>-8.0186787912322277</v>
      </c>
      <c r="J94" s="3">
        <f t="shared" ca="1" si="13"/>
        <v>121.2420923420372</v>
      </c>
      <c r="K94" s="3">
        <f t="shared" ca="1" si="14"/>
        <v>-0.1817096791514814</v>
      </c>
      <c r="L94" s="3"/>
    </row>
    <row r="95" spans="1:12" x14ac:dyDescent="0.3">
      <c r="A95">
        <v>93</v>
      </c>
      <c r="B95" s="2">
        <f t="shared" si="8"/>
        <v>1000</v>
      </c>
      <c r="C95" s="2">
        <f t="shared" si="9"/>
        <v>3.100851877718505E-3</v>
      </c>
      <c r="D95" s="2">
        <f t="shared" si="10"/>
        <v>49.342024590276139</v>
      </c>
      <c r="E95" s="3">
        <f t="shared" si="15"/>
        <v>120.81564426249705</v>
      </c>
      <c r="F95" cm="1">
        <f t="array" aca="1" ref="F95" ca="1">INDEX($O$2:$O$34,INT(A95/$Z$1)+1)</f>
        <v>129.26077113326943</v>
      </c>
      <c r="G95" cm="1">
        <f t="array" aca="1" ref="G95" ca="1">INDEX($O$2:$O$34,INT(A95/$Z$1)+2)</f>
        <v>120.0965668004326</v>
      </c>
      <c r="H95">
        <f t="shared" ca="1" si="11"/>
        <v>-0.28638138540115099</v>
      </c>
      <c r="I95">
        <f t="shared" ca="1" si="12"/>
        <v>-8.3050601766333791</v>
      </c>
      <c r="J95" s="3">
        <f t="shared" ca="1" si="13"/>
        <v>120.95571095663605</v>
      </c>
      <c r="K95" s="3">
        <f t="shared" ca="1" si="14"/>
        <v>-0.14006669413900852</v>
      </c>
      <c r="L95" s="3"/>
    </row>
    <row r="96" spans="1:12" x14ac:dyDescent="0.3">
      <c r="A96">
        <v>94</v>
      </c>
      <c r="B96" s="2">
        <f t="shared" si="8"/>
        <v>1011.8406889128095</v>
      </c>
      <c r="C96" s="2">
        <f t="shared" si="9"/>
        <v>3.1021460902770004E-3</v>
      </c>
      <c r="D96" s="2">
        <f t="shared" si="10"/>
        <v>49.207481207697413</v>
      </c>
      <c r="E96" s="3">
        <f t="shared" si="15"/>
        <v>120.57346617385534</v>
      </c>
      <c r="F96" cm="1">
        <f t="array" aca="1" ref="F96" ca="1">INDEX($O$2:$O$34,INT(A96/$Z$1)+1)</f>
        <v>129.26077113326943</v>
      </c>
      <c r="G96" cm="1">
        <f t="array" aca="1" ref="G96" ca="1">INDEX($O$2:$O$34,INT(A96/$Z$1)+2)</f>
        <v>120.0965668004326</v>
      </c>
      <c r="H96">
        <f t="shared" ca="1" si="11"/>
        <v>-0.28638138540115099</v>
      </c>
      <c r="I96">
        <f t="shared" ca="1" si="12"/>
        <v>-8.5914415620345288</v>
      </c>
      <c r="J96" s="3">
        <f t="shared" ca="1" si="13"/>
        <v>120.6693295712349</v>
      </c>
      <c r="K96" s="3">
        <f t="shared" ca="1" si="14"/>
        <v>-9.5863397379559956E-2</v>
      </c>
      <c r="L96" s="3"/>
    </row>
    <row r="97" spans="1:12" x14ac:dyDescent="0.3">
      <c r="A97">
        <v>95</v>
      </c>
      <c r="B97" s="2">
        <f t="shared" si="8"/>
        <v>1023.7068965517242</v>
      </c>
      <c r="C97" s="2">
        <f t="shared" si="9"/>
        <v>3.103427986343818E-3</v>
      </c>
      <c r="D97" s="2">
        <f t="shared" si="10"/>
        <v>49.074328839062503</v>
      </c>
      <c r="E97" s="3">
        <f t="shared" si="15"/>
        <v>120.3337919103125</v>
      </c>
      <c r="F97" cm="1">
        <f t="array" aca="1" ref="F97" ca="1">INDEX($O$2:$O$34,INT(A97/$Z$1)+1)</f>
        <v>129.26077113326943</v>
      </c>
      <c r="G97" cm="1">
        <f t="array" aca="1" ref="G97" ca="1">INDEX($O$2:$O$34,INT(A97/$Z$1)+2)</f>
        <v>120.0965668004326</v>
      </c>
      <c r="H97">
        <f t="shared" ca="1" si="11"/>
        <v>-0.28638138540115099</v>
      </c>
      <c r="I97">
        <f t="shared" ca="1" si="12"/>
        <v>-8.8778229474356802</v>
      </c>
      <c r="J97" s="3">
        <f t="shared" ca="1" si="13"/>
        <v>120.38294818583375</v>
      </c>
      <c r="K97" s="3">
        <f t="shared" ca="1" si="14"/>
        <v>-4.9156275521255566E-2</v>
      </c>
      <c r="L97" s="3"/>
    </row>
    <row r="98" spans="1:12" x14ac:dyDescent="0.3">
      <c r="A98">
        <v>96</v>
      </c>
      <c r="B98" s="2">
        <f t="shared" si="8"/>
        <v>1035.598705501618</v>
      </c>
      <c r="C98" s="2">
        <f t="shared" si="9"/>
        <v>3.1046978268058647E-3</v>
      </c>
      <c r="D98" s="2">
        <f t="shared" si="10"/>
        <v>48.942537111351442</v>
      </c>
      <c r="E98" s="3">
        <f t="shared" si="15"/>
        <v>120.0965668004326</v>
      </c>
      <c r="F98" cm="1">
        <f t="array" aca="1" ref="F98" ca="1">INDEX($O$2:$O$34,INT(A98/$Z$1)+1)</f>
        <v>120.0965668004326</v>
      </c>
      <c r="G98" cm="1">
        <f t="array" aca="1" ref="G98" ca="1">INDEX($O$2:$O$34,INT(A98/$Z$1)+2)</f>
        <v>113.54366028806263</v>
      </c>
      <c r="H98">
        <f t="shared" ca="1" si="11"/>
        <v>-0.20477832851156164</v>
      </c>
      <c r="I98">
        <f t="shared" ca="1" si="12"/>
        <v>0</v>
      </c>
      <c r="J98" s="3">
        <f t="shared" ca="1" si="13"/>
        <v>120.0965668004326</v>
      </c>
      <c r="K98" s="3">
        <f t="shared" ca="1" si="14"/>
        <v>0</v>
      </c>
      <c r="L98" s="3"/>
    </row>
    <row r="99" spans="1:12" x14ac:dyDescent="0.3">
      <c r="A99">
        <v>97</v>
      </c>
      <c r="B99" s="2">
        <f t="shared" si="8"/>
        <v>1047.5161987041038</v>
      </c>
      <c r="C99" s="2">
        <f t="shared" si="9"/>
        <v>3.1059558644487102E-3</v>
      </c>
      <c r="D99" s="2">
        <f t="shared" si="10"/>
        <v>48.812076617432695</v>
      </c>
      <c r="E99" s="3">
        <f t="shared" si="15"/>
        <v>119.86173791137885</v>
      </c>
      <c r="F99" cm="1">
        <f t="array" aca="1" ref="F99" ca="1">INDEX($O$2:$O$34,INT(A99/$Z$1)+1)</f>
        <v>120.0965668004326</v>
      </c>
      <c r="G99" cm="1">
        <f t="array" aca="1" ref="G99" ca="1">INDEX($O$2:$O$34,INT(A99/$Z$1)+2)</f>
        <v>113.54366028806263</v>
      </c>
      <c r="H99">
        <f t="shared" ca="1" si="11"/>
        <v>-0.20477832851156164</v>
      </c>
      <c r="I99">
        <f t="shared" ca="1" si="12"/>
        <v>-0.20477832851156164</v>
      </c>
      <c r="J99" s="3">
        <f t="shared" ca="1" si="13"/>
        <v>119.89178847192103</v>
      </c>
      <c r="K99" s="3">
        <f t="shared" ca="1" si="14"/>
        <v>-3.0050560542179028E-2</v>
      </c>
      <c r="L99" s="3"/>
    </row>
    <row r="100" spans="1:12" x14ac:dyDescent="0.3">
      <c r="A100">
        <v>98</v>
      </c>
      <c r="B100" s="2">
        <f t="shared" si="8"/>
        <v>1059.4594594594594</v>
      </c>
      <c r="C100" s="2">
        <f t="shared" si="9"/>
        <v>3.1072023442890017E-3</v>
      </c>
      <c r="D100" s="2">
        <f t="shared" si="10"/>
        <v>48.682918875717007</v>
      </c>
      <c r="E100" s="3">
        <f t="shared" si="15"/>
        <v>119.62925397629061</v>
      </c>
      <c r="F100" cm="1">
        <f t="array" aca="1" ref="F100" ca="1">INDEX($O$2:$O$34,INT(A100/$Z$1)+1)</f>
        <v>120.0965668004326</v>
      </c>
      <c r="G100" cm="1">
        <f t="array" aca="1" ref="G100" ca="1">INDEX($O$2:$O$34,INT(A100/$Z$1)+2)</f>
        <v>113.54366028806263</v>
      </c>
      <c r="H100">
        <f t="shared" ca="1" si="11"/>
        <v>-0.20477832851156164</v>
      </c>
      <c r="I100">
        <f t="shared" ca="1" si="12"/>
        <v>-0.40955665702312327</v>
      </c>
      <c r="J100" s="3">
        <f t="shared" ca="1" si="13"/>
        <v>119.68701014340948</v>
      </c>
      <c r="K100" s="3">
        <f t="shared" ca="1" si="14"/>
        <v>-5.7756167118867552E-2</v>
      </c>
      <c r="L100" s="3"/>
    </row>
    <row r="101" spans="1:12" x14ac:dyDescent="0.3">
      <c r="A101">
        <v>99</v>
      </c>
      <c r="B101" s="2">
        <f t="shared" si="8"/>
        <v>1071.4285714285713</v>
      </c>
      <c r="C101" s="2">
        <f t="shared" si="9"/>
        <v>3.1084375038900095E-3</v>
      </c>
      <c r="D101" s="2">
        <f t="shared" si="10"/>
        <v>48.555036291887632</v>
      </c>
      <c r="E101" s="3">
        <f t="shared" si="15"/>
        <v>119.39906532539774</v>
      </c>
      <c r="F101" cm="1">
        <f t="array" aca="1" ref="F101" ca="1">INDEX($O$2:$O$34,INT(A101/$Z$1)+1)</f>
        <v>120.0965668004326</v>
      </c>
      <c r="G101" cm="1">
        <f t="array" aca="1" ref="G101" ca="1">INDEX($O$2:$O$34,INT(A101/$Z$1)+2)</f>
        <v>113.54366028806263</v>
      </c>
      <c r="H101">
        <f t="shared" ca="1" si="11"/>
        <v>-0.20477832851156164</v>
      </c>
      <c r="I101">
        <f t="shared" ca="1" si="12"/>
        <v>-0.61433498553468491</v>
      </c>
      <c r="J101" s="3">
        <f t="shared" ca="1" si="13"/>
        <v>119.48223181489792</v>
      </c>
      <c r="K101" s="3">
        <f t="shared" ca="1" si="14"/>
        <v>-8.3166489500172247E-2</v>
      </c>
      <c r="L101" s="3"/>
    </row>
    <row r="102" spans="1:12" x14ac:dyDescent="0.3">
      <c r="A102">
        <v>100</v>
      </c>
      <c r="B102" s="2">
        <f t="shared" si="8"/>
        <v>1083.4236186348862</v>
      </c>
      <c r="C102" s="2">
        <f t="shared" si="9"/>
        <v>3.1096615736613121E-3</v>
      </c>
      <c r="D102" s="2">
        <f t="shared" si="10"/>
        <v>48.428402122582497</v>
      </c>
      <c r="E102" s="3">
        <f t="shared" si="15"/>
        <v>119.17112382064849</v>
      </c>
      <c r="F102" cm="1">
        <f t="array" aca="1" ref="F102" ca="1">INDEX($O$2:$O$34,INT(A102/$Z$1)+1)</f>
        <v>120.0965668004326</v>
      </c>
      <c r="G102" cm="1">
        <f t="array" aca="1" ref="G102" ca="1">INDEX($O$2:$O$34,INT(A102/$Z$1)+2)</f>
        <v>113.54366028806263</v>
      </c>
      <c r="H102">
        <f t="shared" ca="1" si="11"/>
        <v>-0.20477832851156164</v>
      </c>
      <c r="I102">
        <f t="shared" ca="1" si="12"/>
        <v>-0.81911331404624654</v>
      </c>
      <c r="J102" s="3">
        <f t="shared" ca="1" si="13"/>
        <v>119.27745348638635</v>
      </c>
      <c r="K102" s="3">
        <f t="shared" ca="1" si="14"/>
        <v>-0.10632966573786007</v>
      </c>
      <c r="L102" s="3"/>
    </row>
    <row r="103" spans="1:12" x14ac:dyDescent="0.3">
      <c r="A103">
        <v>101</v>
      </c>
      <c r="B103" s="2">
        <f t="shared" si="8"/>
        <v>1095.4446854663775</v>
      </c>
      <c r="C103" s="2">
        <f t="shared" si="9"/>
        <v>3.1108747771435717E-3</v>
      </c>
      <c r="D103" s="2">
        <f t="shared" si="10"/>
        <v>48.302990440909809</v>
      </c>
      <c r="E103" s="3">
        <f t="shared" si="15"/>
        <v>118.94538279363766</v>
      </c>
      <c r="F103" cm="1">
        <f t="array" aca="1" ref="F103" ca="1">INDEX($O$2:$O$34,INT(A103/$Z$1)+1)</f>
        <v>120.0965668004326</v>
      </c>
      <c r="G103" cm="1">
        <f t="array" aca="1" ref="G103" ca="1">INDEX($O$2:$O$34,INT(A103/$Z$1)+2)</f>
        <v>113.54366028806263</v>
      </c>
      <c r="H103">
        <f t="shared" ca="1" si="11"/>
        <v>-0.20477832851156164</v>
      </c>
      <c r="I103">
        <f t="shared" ca="1" si="12"/>
        <v>-1.0238916425578082</v>
      </c>
      <c r="J103" s="3">
        <f t="shared" ca="1" si="13"/>
        <v>119.07267515787478</v>
      </c>
      <c r="K103" s="3">
        <f t="shared" ca="1" si="14"/>
        <v>-0.12729236423712109</v>
      </c>
      <c r="L103" s="3"/>
    </row>
    <row r="104" spans="1:12" x14ac:dyDescent="0.3">
      <c r="A104">
        <v>102</v>
      </c>
      <c r="B104" s="2">
        <f t="shared" si="8"/>
        <v>1107.4918566775245</v>
      </c>
      <c r="C104" s="2">
        <f t="shared" si="9"/>
        <v>3.1120773312792818E-3</v>
      </c>
      <c r="D104" s="2">
        <f t="shared" si="10"/>
        <v>48.178776103686971</v>
      </c>
      <c r="E104" s="3">
        <f t="shared" si="15"/>
        <v>118.72179698663655</v>
      </c>
      <c r="F104" cm="1">
        <f t="array" aca="1" ref="F104" ca="1">INDEX($O$2:$O$34,INT(A104/$Z$1)+1)</f>
        <v>120.0965668004326</v>
      </c>
      <c r="G104" cm="1">
        <f t="array" aca="1" ref="G104" ca="1">INDEX($O$2:$O$34,INT(A104/$Z$1)+2)</f>
        <v>113.54366028806263</v>
      </c>
      <c r="H104">
        <f t="shared" ca="1" si="11"/>
        <v>-0.20477832851156164</v>
      </c>
      <c r="I104">
        <f t="shared" ca="1" si="12"/>
        <v>-1.2286699710693698</v>
      </c>
      <c r="J104" s="3">
        <f t="shared" ca="1" si="13"/>
        <v>118.86789682936323</v>
      </c>
      <c r="K104" s="3">
        <f t="shared" ca="1" si="14"/>
        <v>-0.14609984272668441</v>
      </c>
      <c r="L104" s="3"/>
    </row>
    <row r="105" spans="1:12" x14ac:dyDescent="0.3">
      <c r="A105">
        <v>103</v>
      </c>
      <c r="B105" s="2">
        <f t="shared" si="8"/>
        <v>1119.5652173913043</v>
      </c>
      <c r="C105" s="2">
        <f t="shared" si="9"/>
        <v>3.1132694466703068E-3</v>
      </c>
      <c r="D105" s="2">
        <f t="shared" si="10"/>
        <v>48.055734720300734</v>
      </c>
      <c r="E105" s="3">
        <f t="shared" si="15"/>
        <v>118.50032249654132</v>
      </c>
      <c r="F105" cm="1">
        <f t="array" aca="1" ref="F105" ca="1">INDEX($O$2:$O$34,INT(A105/$Z$1)+1)</f>
        <v>120.0965668004326</v>
      </c>
      <c r="G105" cm="1">
        <f t="array" aca="1" ref="G105" ca="1">INDEX($O$2:$O$34,INT(A105/$Z$1)+2)</f>
        <v>113.54366028806263</v>
      </c>
      <c r="H105">
        <f t="shared" ca="1" si="11"/>
        <v>-0.20477832851156164</v>
      </c>
      <c r="I105">
        <f t="shared" ca="1" si="12"/>
        <v>-1.4334482995809315</v>
      </c>
      <c r="J105" s="3">
        <f t="shared" ca="1" si="13"/>
        <v>118.66311850085167</v>
      </c>
      <c r="K105" s="3">
        <f t="shared" ca="1" si="14"/>
        <v>-0.16279600431035135</v>
      </c>
      <c r="L105" s="3"/>
    </row>
    <row r="106" spans="1:12" x14ac:dyDescent="0.3">
      <c r="A106">
        <v>104</v>
      </c>
      <c r="B106" s="2">
        <f t="shared" si="8"/>
        <v>1131.664853101197</v>
      </c>
      <c r="C106" s="2">
        <f t="shared" si="9"/>
        <v>3.1144513278229783E-3</v>
      </c>
      <c r="D106" s="2">
        <f t="shared" si="10"/>
        <v>47.933842623094279</v>
      </c>
      <c r="E106" s="3">
        <f t="shared" si="15"/>
        <v>118.2809167215697</v>
      </c>
      <c r="F106" cm="1">
        <f t="array" aca="1" ref="F106" ca="1">INDEX($O$2:$O$34,INT(A106/$Z$1)+1)</f>
        <v>120.0965668004326</v>
      </c>
      <c r="G106" cm="1">
        <f t="array" aca="1" ref="G106" ca="1">INDEX($O$2:$O$34,INT(A106/$Z$1)+2)</f>
        <v>113.54366028806263</v>
      </c>
      <c r="H106">
        <f t="shared" ca="1" si="11"/>
        <v>-0.20477832851156164</v>
      </c>
      <c r="I106">
        <f t="shared" ca="1" si="12"/>
        <v>-1.6382266280924931</v>
      </c>
      <c r="J106" s="3">
        <f t="shared" ca="1" si="13"/>
        <v>118.4583401723401</v>
      </c>
      <c r="K106" s="3">
        <f t="shared" ca="1" si="14"/>
        <v>-0.17742345077040511</v>
      </c>
      <c r="L106" s="3"/>
    </row>
    <row r="107" spans="1:12" x14ac:dyDescent="0.3">
      <c r="A107">
        <v>105</v>
      </c>
      <c r="B107" s="2">
        <f t="shared" si="8"/>
        <v>1143.7908496732025</v>
      </c>
      <c r="C107" s="2">
        <f t="shared" si="9"/>
        <v>3.115623173381466E-3</v>
      </c>
      <c r="D107" s="2">
        <f t="shared" si="10"/>
        <v>47.813076839191183</v>
      </c>
      <c r="E107" s="3">
        <f t="shared" si="15"/>
        <v>118.06353831054413</v>
      </c>
      <c r="F107" cm="1">
        <f t="array" aca="1" ref="F107" ca="1">INDEX($O$2:$O$34,INT(A107/$Z$1)+1)</f>
        <v>120.0965668004326</v>
      </c>
      <c r="G107" cm="1">
        <f t="array" aca="1" ref="G107" ca="1">INDEX($O$2:$O$34,INT(A107/$Z$1)+2)</f>
        <v>113.54366028806263</v>
      </c>
      <c r="H107">
        <f t="shared" ca="1" si="11"/>
        <v>-0.20477832851156164</v>
      </c>
      <c r="I107">
        <f t="shared" ca="1" si="12"/>
        <v>-1.8430049566040547</v>
      </c>
      <c r="J107" s="3">
        <f t="shared" ca="1" si="13"/>
        <v>118.25356184382855</v>
      </c>
      <c r="K107" s="3">
        <f t="shared" ca="1" si="14"/>
        <v>-0.19002353328441757</v>
      </c>
      <c r="L107" s="3"/>
    </row>
    <row r="108" spans="1:12" x14ac:dyDescent="0.3">
      <c r="A108">
        <v>106</v>
      </c>
      <c r="B108" s="2">
        <f t="shared" si="8"/>
        <v>1155.9432933478736</v>
      </c>
      <c r="C108" s="2">
        <f t="shared" si="9"/>
        <v>3.1167851763500873E-3</v>
      </c>
      <c r="D108" s="2">
        <f t="shared" si="10"/>
        <v>47.693415063674877</v>
      </c>
      <c r="E108" s="3">
        <f t="shared" si="15"/>
        <v>117.84814711461478</v>
      </c>
      <c r="F108" cm="1">
        <f t="array" aca="1" ref="F108" ca="1">INDEX($O$2:$O$34,INT(A108/$Z$1)+1)</f>
        <v>120.0965668004326</v>
      </c>
      <c r="G108" cm="1">
        <f t="array" aca="1" ref="G108" ca="1">INDEX($O$2:$O$34,INT(A108/$Z$1)+2)</f>
        <v>113.54366028806263</v>
      </c>
      <c r="H108">
        <f t="shared" ca="1" si="11"/>
        <v>-0.20477832851156164</v>
      </c>
      <c r="I108">
        <f t="shared" ca="1" si="12"/>
        <v>-2.0477832851156164</v>
      </c>
      <c r="J108" s="3">
        <f t="shared" ca="1" si="13"/>
        <v>118.04878351531698</v>
      </c>
      <c r="K108" s="3">
        <f t="shared" ca="1" si="14"/>
        <v>-0.20063640070220856</v>
      </c>
      <c r="L108" s="3"/>
    </row>
    <row r="109" spans="1:12" x14ac:dyDescent="0.3">
      <c r="A109">
        <v>107</v>
      </c>
      <c r="B109" s="2">
        <f t="shared" si="8"/>
        <v>1168.1222707423581</v>
      </c>
      <c r="C109" s="2">
        <f t="shared" si="9"/>
        <v>3.1179375243051781E-3</v>
      </c>
      <c r="D109" s="2">
        <f t="shared" si="10"/>
        <v>47.574835634045201</v>
      </c>
      <c r="E109" s="3">
        <f t="shared" si="15"/>
        <v>117.63470414128136</v>
      </c>
      <c r="F109" cm="1">
        <f t="array" aca="1" ref="F109" ca="1">INDEX($O$2:$O$34,INT(A109/$Z$1)+1)</f>
        <v>120.0965668004326</v>
      </c>
      <c r="G109" cm="1">
        <f t="array" aca="1" ref="G109" ca="1">INDEX($O$2:$O$34,INT(A109/$Z$1)+2)</f>
        <v>113.54366028806263</v>
      </c>
      <c r="H109">
        <f t="shared" ca="1" si="11"/>
        <v>-0.20477832851156164</v>
      </c>
      <c r="I109">
        <f t="shared" ca="1" si="12"/>
        <v>-2.252561613627178</v>
      </c>
      <c r="J109" s="3">
        <f t="shared" ca="1" si="13"/>
        <v>117.84400518680542</v>
      </c>
      <c r="K109" s="3">
        <f t="shared" ca="1" si="14"/>
        <v>-0.20930104552405737</v>
      </c>
      <c r="L109" s="3"/>
    </row>
    <row r="110" spans="1:12" x14ac:dyDescent="0.3">
      <c r="A110">
        <v>108</v>
      </c>
      <c r="B110" s="2">
        <f t="shared" si="8"/>
        <v>1180.327868852459</v>
      </c>
      <c r="C110" s="2">
        <f t="shared" si="9"/>
        <v>3.119080399597113E-3</v>
      </c>
      <c r="D110" s="2">
        <f t="shared" si="10"/>
        <v>47.45731750588044</v>
      </c>
      <c r="E110" s="3">
        <f t="shared" si="15"/>
        <v>117.42317151058479</v>
      </c>
      <c r="F110" cm="1">
        <f t="array" aca="1" ref="F110" ca="1">INDEX($O$2:$O$34,INT(A110/$Z$1)+1)</f>
        <v>120.0965668004326</v>
      </c>
      <c r="G110" cm="1">
        <f t="array" aca="1" ref="G110" ca="1">INDEX($O$2:$O$34,INT(A110/$Z$1)+2)</f>
        <v>113.54366028806263</v>
      </c>
      <c r="H110">
        <f t="shared" ca="1" si="11"/>
        <v>-0.20477832851156164</v>
      </c>
      <c r="I110">
        <f t="shared" ca="1" si="12"/>
        <v>-2.4573399421387396</v>
      </c>
      <c r="J110" s="3">
        <f t="shared" ca="1" si="13"/>
        <v>117.63922685829385</v>
      </c>
      <c r="K110" s="3">
        <f t="shared" ca="1" si="14"/>
        <v>-0.21605534770905876</v>
      </c>
      <c r="L110" s="3"/>
    </row>
    <row r="111" spans="1:12" x14ac:dyDescent="0.3">
      <c r="A111">
        <v>109</v>
      </c>
      <c r="B111" s="2">
        <f t="shared" si="8"/>
        <v>1192.5601750547046</v>
      </c>
      <c r="C111" s="2">
        <f t="shared" si="9"/>
        <v>3.1202139795430094E-3</v>
      </c>
      <c r="D111" s="2">
        <f t="shared" si="10"/>
        <v>47.340840229637536</v>
      </c>
      <c r="E111" s="3">
        <f t="shared" si="15"/>
        <v>117.21351241334756</v>
      </c>
      <c r="F111" cm="1">
        <f t="array" aca="1" ref="F111" ca="1">INDEX($O$2:$O$34,INT(A111/$Z$1)+1)</f>
        <v>120.0965668004326</v>
      </c>
      <c r="G111" cm="1">
        <f t="array" aca="1" ref="G111" ca="1">INDEX($O$2:$O$34,INT(A111/$Z$1)+2)</f>
        <v>113.54366028806263</v>
      </c>
      <c r="H111">
        <f t="shared" ca="1" si="11"/>
        <v>-0.20477832851156164</v>
      </c>
      <c r="I111">
        <f t="shared" ca="1" si="12"/>
        <v>-2.6621182706503013</v>
      </c>
      <c r="J111" s="3">
        <f t="shared" ca="1" si="13"/>
        <v>117.4344485297823</v>
      </c>
      <c r="K111" s="3">
        <f t="shared" ca="1" si="14"/>
        <v>-0.22093611643474276</v>
      </c>
      <c r="L111" s="3"/>
    </row>
    <row r="112" spans="1:12" x14ac:dyDescent="0.3">
      <c r="A112">
        <v>110</v>
      </c>
      <c r="B112" s="2">
        <f t="shared" si="8"/>
        <v>1204.8192771084337</v>
      </c>
      <c r="C112" s="2">
        <f t="shared" si="9"/>
        <v>3.1213384366106382E-3</v>
      </c>
      <c r="D112" s="2">
        <f t="shared" si="10"/>
        <v>47.225383928526526</v>
      </c>
      <c r="E112" s="3">
        <f t="shared" si="15"/>
        <v>117.00569107134774</v>
      </c>
      <c r="F112" cm="1">
        <f t="array" aca="1" ref="F112" ca="1">INDEX($O$2:$O$34,INT(A112/$Z$1)+1)</f>
        <v>120.0965668004326</v>
      </c>
      <c r="G112" cm="1">
        <f t="array" aca="1" ref="G112" ca="1">INDEX($O$2:$O$34,INT(A112/$Z$1)+2)</f>
        <v>113.54366028806263</v>
      </c>
      <c r="H112">
        <f t="shared" ca="1" si="11"/>
        <v>-0.20477832851156164</v>
      </c>
      <c r="I112">
        <f t="shared" ca="1" si="12"/>
        <v>-2.8668965991618629</v>
      </c>
      <c r="J112" s="3">
        <f t="shared" ca="1" si="13"/>
        <v>117.22967020127074</v>
      </c>
      <c r="K112" s="3">
        <f t="shared" ca="1" si="14"/>
        <v>-0.22397912992299496</v>
      </c>
      <c r="L112" s="3"/>
    </row>
    <row r="113" spans="1:12" x14ac:dyDescent="0.3">
      <c r="A113">
        <v>111</v>
      </c>
      <c r="B113" s="2">
        <f t="shared" si="8"/>
        <v>1217.1052631578948</v>
      </c>
      <c r="C113" s="2">
        <f t="shared" si="9"/>
        <v>3.1224539385940092E-3</v>
      </c>
      <c r="D113" s="2">
        <f t="shared" si="10"/>
        <v>47.110929277401624</v>
      </c>
      <c r="E113" s="3">
        <f t="shared" si="15"/>
        <v>116.79967269932293</v>
      </c>
      <c r="F113" cm="1">
        <f t="array" aca="1" ref="F113" ca="1">INDEX($O$2:$O$34,INT(A113/$Z$1)+1)</f>
        <v>120.0965668004326</v>
      </c>
      <c r="G113" cm="1">
        <f t="array" aca="1" ref="G113" ca="1">INDEX($O$2:$O$34,INT(A113/$Z$1)+2)</f>
        <v>113.54366028806263</v>
      </c>
      <c r="H113">
        <f t="shared" ca="1" si="11"/>
        <v>-0.20477832851156164</v>
      </c>
      <c r="I113">
        <f t="shared" ca="1" si="12"/>
        <v>-3.0716749276734245</v>
      </c>
      <c r="J113" s="3">
        <f t="shared" ca="1" si="13"/>
        <v>117.02489187275917</v>
      </c>
      <c r="K113" s="3">
        <f t="shared" ca="1" si="14"/>
        <v>-0.22521917343624409</v>
      </c>
      <c r="L113" s="3"/>
    </row>
    <row r="114" spans="1:12" x14ac:dyDescent="0.3">
      <c r="A114">
        <v>112</v>
      </c>
      <c r="B114" s="2">
        <f t="shared" si="8"/>
        <v>1229.4182217343578</v>
      </c>
      <c r="C114" s="2">
        <f t="shared" si="9"/>
        <v>3.1235606487810832E-3</v>
      </c>
      <c r="D114" s="2">
        <f t="shared" si="10"/>
        <v>46.99745748261148</v>
      </c>
      <c r="E114" s="3">
        <f t="shared" si="15"/>
        <v>116.59542346870066</v>
      </c>
      <c r="F114" cm="1">
        <f t="array" aca="1" ref="F114" ca="1">INDEX($O$2:$O$34,INT(A114/$Z$1)+1)</f>
        <v>120.0965668004326</v>
      </c>
      <c r="G114" cm="1">
        <f t="array" aca="1" ref="G114" ca="1">INDEX($O$2:$O$34,INT(A114/$Z$1)+2)</f>
        <v>113.54366028806263</v>
      </c>
      <c r="H114">
        <f t="shared" ca="1" si="11"/>
        <v>-0.20477832851156164</v>
      </c>
      <c r="I114">
        <f t="shared" ca="1" si="12"/>
        <v>-3.2764532561849862</v>
      </c>
      <c r="J114" s="3">
        <f t="shared" ca="1" si="13"/>
        <v>116.82011354424762</v>
      </c>
      <c r="K114" s="3">
        <f t="shared" ca="1" si="14"/>
        <v>-0.22469007554695963</v>
      </c>
      <c r="L114" s="3"/>
    </row>
    <row r="115" spans="1:12" x14ac:dyDescent="0.3">
      <c r="A115">
        <v>113</v>
      </c>
      <c r="B115" s="2">
        <f t="shared" si="8"/>
        <v>1241.7582417582419</v>
      </c>
      <c r="C115" s="2">
        <f t="shared" si="9"/>
        <v>3.1246587261140307E-3</v>
      </c>
      <c r="D115" s="2">
        <f t="shared" si="10"/>
        <v>46.884950262759105</v>
      </c>
      <c r="E115" s="3">
        <f t="shared" si="15"/>
        <v>116.39291047296639</v>
      </c>
      <c r="F115" cm="1">
        <f t="array" aca="1" ref="F115" ca="1">INDEX($O$2:$O$34,INT(A115/$Z$1)+1)</f>
        <v>120.0965668004326</v>
      </c>
      <c r="G115" cm="1">
        <f t="array" aca="1" ref="G115" ca="1">INDEX($O$2:$O$34,INT(A115/$Z$1)+2)</f>
        <v>113.54366028806263</v>
      </c>
      <c r="H115">
        <f t="shared" ca="1" si="11"/>
        <v>-0.20477832851156164</v>
      </c>
      <c r="I115">
        <f t="shared" ca="1" si="12"/>
        <v>-3.4812315846965478</v>
      </c>
      <c r="J115" s="3">
        <f t="shared" ca="1" si="13"/>
        <v>116.61533521573605</v>
      </c>
      <c r="K115" s="3">
        <f t="shared" ca="1" si="14"/>
        <v>-0.22242474276966107</v>
      </c>
      <c r="L115" s="3"/>
    </row>
    <row r="116" spans="1:12" x14ac:dyDescent="0.3">
      <c r="A116">
        <v>114</v>
      </c>
      <c r="B116" s="2">
        <f t="shared" si="8"/>
        <v>1254.125412541254</v>
      </c>
      <c r="C116" s="2">
        <f t="shared" si="9"/>
        <v>3.1257483253424303E-3</v>
      </c>
      <c r="D116" s="2">
        <f t="shared" si="10"/>
        <v>46.773389830321207</v>
      </c>
      <c r="E116" s="3">
        <f t="shared" si="15"/>
        <v>116.19210169457817</v>
      </c>
      <c r="F116" cm="1">
        <f t="array" aca="1" ref="F116" ca="1">INDEX($O$2:$O$34,INT(A116/$Z$1)+1)</f>
        <v>120.0965668004326</v>
      </c>
      <c r="G116" cm="1">
        <f t="array" aca="1" ref="G116" ca="1">INDEX($O$2:$O$34,INT(A116/$Z$1)+2)</f>
        <v>113.54366028806263</v>
      </c>
      <c r="H116">
        <f t="shared" ca="1" si="11"/>
        <v>-0.20477832851156164</v>
      </c>
      <c r="I116">
        <f t="shared" ca="1" si="12"/>
        <v>-3.6860099132081094</v>
      </c>
      <c r="J116" s="3">
        <f t="shared" ca="1" si="13"/>
        <v>116.41055688722449</v>
      </c>
      <c r="K116" s="3">
        <f t="shared" ca="1" si="14"/>
        <v>-0.21845519264631719</v>
      </c>
      <c r="L116" s="3"/>
    </row>
    <row r="117" spans="1:12" x14ac:dyDescent="0.3">
      <c r="A117">
        <v>115</v>
      </c>
      <c r="B117" s="2">
        <f t="shared" si="8"/>
        <v>1266.5198237885463</v>
      </c>
      <c r="C117" s="2">
        <f t="shared" si="9"/>
        <v>3.1268295971697774E-3</v>
      </c>
      <c r="D117" s="2">
        <f t="shared" si="10"/>
        <v>46.662758874081703</v>
      </c>
      <c r="E117" s="3">
        <f t="shared" si="15"/>
        <v>115.99296597334707</v>
      </c>
      <c r="F117" cm="1">
        <f t="array" aca="1" ref="F117" ca="1">INDEX($O$2:$O$34,INT(A117/$Z$1)+1)</f>
        <v>120.0965668004326</v>
      </c>
      <c r="G117" cm="1">
        <f t="array" aca="1" ref="G117" ca="1">INDEX($O$2:$O$34,INT(A117/$Z$1)+2)</f>
        <v>113.54366028806263</v>
      </c>
      <c r="H117">
        <f t="shared" ca="1" si="11"/>
        <v>-0.20477832851156164</v>
      </c>
      <c r="I117">
        <f t="shared" ca="1" si="12"/>
        <v>-3.8907882417196711</v>
      </c>
      <c r="J117" s="3">
        <f t="shared" ca="1" si="13"/>
        <v>116.20577855871292</v>
      </c>
      <c r="K117" s="3">
        <f t="shared" ca="1" si="14"/>
        <v>-0.21281258536585312</v>
      </c>
      <c r="L117" s="3"/>
    </row>
    <row r="118" spans="1:12" x14ac:dyDescent="0.3">
      <c r="A118">
        <v>116</v>
      </c>
      <c r="B118" s="2">
        <f t="shared" si="8"/>
        <v>1278.9415656008821</v>
      </c>
      <c r="C118" s="2">
        <f t="shared" si="9"/>
        <v>3.1279026883936499E-3</v>
      </c>
      <c r="D118" s="2">
        <f t="shared" si="10"/>
        <v>46.553040542337044</v>
      </c>
      <c r="E118" s="3">
        <f t="shared" si="15"/>
        <v>115.79547297620668</v>
      </c>
      <c r="F118" cm="1">
        <f t="array" aca="1" ref="F118" ca="1">INDEX($O$2:$O$34,INT(A118/$Z$1)+1)</f>
        <v>120.0965668004326</v>
      </c>
      <c r="G118" cm="1">
        <f t="array" aca="1" ref="G118" ca="1">INDEX($O$2:$O$34,INT(A118/$Z$1)+2)</f>
        <v>113.54366028806263</v>
      </c>
      <c r="H118">
        <f t="shared" ca="1" si="11"/>
        <v>-0.20477832851156164</v>
      </c>
      <c r="I118">
        <f t="shared" ca="1" si="12"/>
        <v>-4.0955665702312327</v>
      </c>
      <c r="J118" s="3">
        <f t="shared" ca="1" si="13"/>
        <v>116.00100023020137</v>
      </c>
      <c r="K118" s="3">
        <f t="shared" ca="1" si="14"/>
        <v>-0.20552725399468841</v>
      </c>
      <c r="L118" s="3"/>
    </row>
    <row r="119" spans="1:12" x14ac:dyDescent="0.3">
      <c r="A119">
        <v>117</v>
      </c>
      <c r="B119" s="2">
        <f t="shared" si="8"/>
        <v>1291.3907284768211</v>
      </c>
      <c r="C119" s="2">
        <f t="shared" si="9"/>
        <v>3.1289677420398591E-3</v>
      </c>
      <c r="D119" s="2">
        <f t="shared" si="10"/>
        <v>46.444218426832663</v>
      </c>
      <c r="E119" s="3">
        <f t="shared" si="15"/>
        <v>115.5995931682988</v>
      </c>
      <c r="F119" cm="1">
        <f t="array" aca="1" ref="F119" ca="1">INDEX($O$2:$O$34,INT(A119/$Z$1)+1)</f>
        <v>120.0965668004326</v>
      </c>
      <c r="G119" cm="1">
        <f t="array" aca="1" ref="G119" ca="1">INDEX($O$2:$O$34,INT(A119/$Z$1)+2)</f>
        <v>113.54366028806263</v>
      </c>
      <c r="H119">
        <f t="shared" ca="1" si="11"/>
        <v>-0.20477832851156164</v>
      </c>
      <c r="I119">
        <f t="shared" ca="1" si="12"/>
        <v>-4.3003448987427948</v>
      </c>
      <c r="J119" s="3">
        <f t="shared" ca="1" si="13"/>
        <v>115.7962219016898</v>
      </c>
      <c r="K119" s="3">
        <f t="shared" ca="1" si="14"/>
        <v>-0.19662873339100884</v>
      </c>
      <c r="L119" s="3"/>
    </row>
    <row r="120" spans="1:12" x14ac:dyDescent="0.3">
      <c r="A120">
        <v>118</v>
      </c>
      <c r="B120" s="2">
        <f t="shared" si="8"/>
        <v>1303.8674033149171</v>
      </c>
      <c r="C120" s="2">
        <f t="shared" si="9"/>
        <v>3.1300248974908901E-3</v>
      </c>
      <c r="D120" s="2">
        <f t="shared" si="10"/>
        <v>46.336276547393027</v>
      </c>
      <c r="E120" s="3">
        <f t="shared" si="15"/>
        <v>115.40529778530745</v>
      </c>
      <c r="F120" cm="1">
        <f t="array" aca="1" ref="F120" ca="1">INDEX($O$2:$O$34,INT(A120/$Z$1)+1)</f>
        <v>120.0965668004326</v>
      </c>
      <c r="G120" cm="1">
        <f t="array" aca="1" ref="G120" ca="1">INDEX($O$2:$O$34,INT(A120/$Z$1)+2)</f>
        <v>113.54366028806263</v>
      </c>
      <c r="H120">
        <f t="shared" ca="1" si="11"/>
        <v>-0.20477832851156164</v>
      </c>
      <c r="I120">
        <f t="shared" ca="1" si="12"/>
        <v>-4.505123227254356</v>
      </c>
      <c r="J120" s="3">
        <f t="shared" ca="1" si="13"/>
        <v>115.59144357317824</v>
      </c>
      <c r="K120" s="3">
        <f t="shared" ca="1" si="14"/>
        <v>-0.18614578787078528</v>
      </c>
      <c r="L120" s="3"/>
    </row>
    <row r="121" spans="1:12" x14ac:dyDescent="0.3">
      <c r="A121">
        <v>119</v>
      </c>
      <c r="B121" s="2">
        <f t="shared" si="8"/>
        <v>1316.3716814159293</v>
      </c>
      <c r="C121" s="2">
        <f t="shared" si="9"/>
        <v>3.1310742906089273E-3</v>
      </c>
      <c r="D121" s="2">
        <f t="shared" si="10"/>
        <v>46.229199337209366</v>
      </c>
      <c r="E121" s="3">
        <f t="shared" si="15"/>
        <v>115.21255880697686</v>
      </c>
      <c r="F121" cm="1">
        <f t="array" aca="1" ref="F121" ca="1">INDEX($O$2:$O$34,INT(A121/$Z$1)+1)</f>
        <v>120.0965668004326</v>
      </c>
      <c r="G121" cm="1">
        <f t="array" aca="1" ref="G121" ca="1">INDEX($O$2:$O$34,INT(A121/$Z$1)+2)</f>
        <v>113.54366028806263</v>
      </c>
      <c r="H121">
        <f t="shared" ca="1" si="11"/>
        <v>-0.20477832851156164</v>
      </c>
      <c r="I121">
        <f t="shared" ca="1" si="12"/>
        <v>-4.7099015557659172</v>
      </c>
      <c r="J121" s="3">
        <f t="shared" ca="1" si="13"/>
        <v>115.38666524466669</v>
      </c>
      <c r="K121" s="3">
        <f t="shared" ca="1" si="14"/>
        <v>-0.17410643768982936</v>
      </c>
      <c r="L121" s="3"/>
    </row>
    <row r="122" spans="1:12" x14ac:dyDescent="0.3">
      <c r="A122">
        <v>120</v>
      </c>
      <c r="B122" s="2">
        <f t="shared" si="8"/>
        <v>1328.9036544850499</v>
      </c>
      <c r="C122" s="2">
        <f t="shared" si="9"/>
        <v>3.1321160538537252E-3</v>
      </c>
      <c r="D122" s="2">
        <f t="shared" si="10"/>
        <v>46.122971628752339</v>
      </c>
      <c r="E122" s="3">
        <f t="shared" si="15"/>
        <v>115.0213489317542</v>
      </c>
      <c r="F122" cm="1">
        <f t="array" aca="1" ref="F122" ca="1">INDEX($O$2:$O$34,INT(A122/$Z$1)+1)</f>
        <v>120.0965668004326</v>
      </c>
      <c r="G122" cm="1">
        <f t="array" aca="1" ref="G122" ca="1">INDEX($O$2:$O$34,INT(A122/$Z$1)+2)</f>
        <v>113.54366028806263</v>
      </c>
      <c r="H122">
        <f t="shared" ca="1" si="11"/>
        <v>-0.20477832851156164</v>
      </c>
      <c r="I122">
        <f t="shared" ca="1" si="12"/>
        <v>-4.9146798842774793</v>
      </c>
      <c r="J122" s="3">
        <f t="shared" ca="1" si="13"/>
        <v>115.18188691615512</v>
      </c>
      <c r="K122" s="3">
        <f t="shared" ca="1" si="14"/>
        <v>-0.16053798440091782</v>
      </c>
      <c r="L122" s="3"/>
    </row>
    <row r="123" spans="1:12" x14ac:dyDescent="0.3">
      <c r="A123">
        <v>121</v>
      </c>
      <c r="B123" s="2">
        <f t="shared" si="8"/>
        <v>1341.4634146341464</v>
      </c>
      <c r="C123" s="2">
        <f t="shared" si="9"/>
        <v>3.1331503163955958E-3</v>
      </c>
      <c r="D123" s="2">
        <f t="shared" si="10"/>
        <v>46.017578640277009</v>
      </c>
      <c r="E123" s="3">
        <f t="shared" si="15"/>
        <v>114.83164155249861</v>
      </c>
      <c r="F123" cm="1">
        <f t="array" aca="1" ref="F123" ca="1">INDEX($O$2:$O$34,INT(A123/$Z$1)+1)</f>
        <v>120.0965668004326</v>
      </c>
      <c r="G123" cm="1">
        <f t="array" aca="1" ref="G123" ca="1">INDEX($O$2:$O$34,INT(A123/$Z$1)+2)</f>
        <v>113.54366028806263</v>
      </c>
      <c r="H123">
        <f t="shared" ca="1" si="11"/>
        <v>-0.20477832851156164</v>
      </c>
      <c r="I123">
        <f t="shared" ca="1" si="12"/>
        <v>-5.1194582127890413</v>
      </c>
      <c r="J123" s="3">
        <f t="shared" ca="1" si="13"/>
        <v>114.97710858764356</v>
      </c>
      <c r="K123" s="3">
        <f t="shared" ca="1" si="14"/>
        <v>-0.14546703514494652</v>
      </c>
      <c r="L123" s="3"/>
    </row>
    <row r="124" spans="1:12" x14ac:dyDescent="0.3">
      <c r="A124">
        <v>122</v>
      </c>
      <c r="B124" s="2">
        <f t="shared" si="8"/>
        <v>1354.0510543840178</v>
      </c>
      <c r="C124" s="2">
        <f t="shared" si="9"/>
        <v>3.1341772042237418E-3</v>
      </c>
      <c r="D124" s="2">
        <f t="shared" si="10"/>
        <v>45.913005962892043</v>
      </c>
      <c r="E124" s="3">
        <f t="shared" si="15"/>
        <v>114.64341073320568</v>
      </c>
      <c r="F124" cm="1">
        <f t="array" aca="1" ref="F124" ca="1">INDEX($O$2:$O$34,INT(A124/$Z$1)+1)</f>
        <v>120.0965668004326</v>
      </c>
      <c r="G124" cm="1">
        <f t="array" aca="1" ref="G124" ca="1">INDEX($O$2:$O$34,INT(A124/$Z$1)+2)</f>
        <v>113.54366028806263</v>
      </c>
      <c r="H124">
        <f t="shared" ca="1" si="11"/>
        <v>-0.20477832851156164</v>
      </c>
      <c r="I124">
        <f t="shared" ca="1" si="12"/>
        <v>-5.3242365413006025</v>
      </c>
      <c r="J124" s="3">
        <f t="shared" ca="1" si="13"/>
        <v>114.77233025913199</v>
      </c>
      <c r="K124" s="3">
        <f t="shared" ca="1" si="14"/>
        <v>-0.12891952592630673</v>
      </c>
      <c r="L124" s="3"/>
    </row>
    <row r="125" spans="1:12" x14ac:dyDescent="0.3">
      <c r="A125">
        <v>123</v>
      </c>
      <c r="B125" s="2">
        <f t="shared" si="8"/>
        <v>1366.6666666666667</v>
      </c>
      <c r="C125" s="2">
        <f t="shared" si="9"/>
        <v>3.1351968402501692E-3</v>
      </c>
      <c r="D125" s="2">
        <f t="shared" si="10"/>
        <v>45.809239548163816</v>
      </c>
      <c r="E125" s="3">
        <f t="shared" si="15"/>
        <v>114.45663118669486</v>
      </c>
      <c r="F125" cm="1">
        <f t="array" aca="1" ref="F125" ca="1">INDEX($O$2:$O$34,INT(A125/$Z$1)+1)</f>
        <v>120.0965668004326</v>
      </c>
      <c r="G125" cm="1">
        <f t="array" aca="1" ref="G125" ca="1">INDEX($O$2:$O$34,INT(A125/$Z$1)+2)</f>
        <v>113.54366028806263</v>
      </c>
      <c r="H125">
        <f t="shared" ca="1" si="11"/>
        <v>-0.20477832851156164</v>
      </c>
      <c r="I125">
        <f t="shared" ca="1" si="12"/>
        <v>-5.5290148698121637</v>
      </c>
      <c r="J125" s="3">
        <f t="shared" ca="1" si="13"/>
        <v>114.56755193062044</v>
      </c>
      <c r="K125" s="3">
        <f t="shared" ca="1" si="14"/>
        <v>-0.11092074392557549</v>
      </c>
      <c r="L125" s="3"/>
    </row>
    <row r="126" spans="1:12" x14ac:dyDescent="0.3">
      <c r="A126">
        <v>124</v>
      </c>
      <c r="B126" s="2">
        <f t="shared" si="8"/>
        <v>1379.3103448275863</v>
      </c>
      <c r="C126" s="2">
        <f t="shared" si="9"/>
        <v>3.1362093444093925E-3</v>
      </c>
      <c r="D126" s="2">
        <f t="shared" si="10"/>
        <v>45.706265696229821</v>
      </c>
      <c r="E126" s="3">
        <f t="shared" si="15"/>
        <v>114.27127825321368</v>
      </c>
      <c r="F126" cm="1">
        <f t="array" aca="1" ref="F126" ca="1">INDEX($O$2:$O$34,INT(A126/$Z$1)+1)</f>
        <v>120.0965668004326</v>
      </c>
      <c r="G126" cm="1">
        <f t="array" aca="1" ref="G126" ca="1">INDEX($O$2:$O$34,INT(A126/$Z$1)+2)</f>
        <v>113.54366028806263</v>
      </c>
      <c r="H126">
        <f t="shared" ca="1" si="11"/>
        <v>-0.20477832851156164</v>
      </c>
      <c r="I126">
        <f t="shared" ca="1" si="12"/>
        <v>-5.7337931983237258</v>
      </c>
      <c r="J126" s="3">
        <f t="shared" ca="1" si="13"/>
        <v>114.36277360210887</v>
      </c>
      <c r="K126" s="3">
        <f t="shared" ca="1" si="14"/>
        <v>-9.1495348895193729E-2</v>
      </c>
      <c r="L126" s="3"/>
    </row>
    <row r="127" spans="1:12" x14ac:dyDescent="0.3">
      <c r="A127">
        <v>125</v>
      </c>
      <c r="B127" s="2">
        <f t="shared" si="8"/>
        <v>1391.9821826280624</v>
      </c>
      <c r="C127" s="2">
        <f t="shared" si="9"/>
        <v>3.1372148337541384E-3</v>
      </c>
      <c r="D127" s="2">
        <f t="shared" si="10"/>
        <v>45.604071044396164</v>
      </c>
      <c r="E127" s="3">
        <f t="shared" si="15"/>
        <v>114.08732787991309</v>
      </c>
      <c r="F127" cm="1">
        <f t="array" aca="1" ref="F127" ca="1">INDEX($O$2:$O$34,INT(A127/$Z$1)+1)</f>
        <v>120.0965668004326</v>
      </c>
      <c r="G127" cm="1">
        <f t="array" aca="1" ref="G127" ca="1">INDEX($O$2:$O$34,INT(A127/$Z$1)+2)</f>
        <v>113.54366028806263</v>
      </c>
      <c r="H127">
        <f t="shared" ca="1" si="11"/>
        <v>-0.20477832851156164</v>
      </c>
      <c r="I127">
        <f t="shared" ca="1" si="12"/>
        <v>-5.9385715268352879</v>
      </c>
      <c r="J127" s="3">
        <f t="shared" ca="1" si="13"/>
        <v>114.15799527359731</v>
      </c>
      <c r="K127" s="3">
        <f t="shared" ca="1" si="14"/>
        <v>-7.0667393684217927E-2</v>
      </c>
      <c r="L127" s="3"/>
    </row>
    <row r="128" spans="1:12" x14ac:dyDescent="0.3">
      <c r="A128">
        <v>126</v>
      </c>
      <c r="B128" s="2">
        <f t="shared" si="8"/>
        <v>1404.6822742474917</v>
      </c>
      <c r="C128" s="2">
        <f t="shared" si="9"/>
        <v>3.138213422547232E-3</v>
      </c>
      <c r="D128" s="2">
        <f t="shared" si="10"/>
        <v>45.502642556196179</v>
      </c>
      <c r="E128" s="3">
        <f t="shared" si="15"/>
        <v>113.90475660115312</v>
      </c>
      <c r="F128" cm="1">
        <f t="array" aca="1" ref="F128" ca="1">INDEX($O$2:$O$34,INT(A128/$Z$1)+1)</f>
        <v>120.0965668004326</v>
      </c>
      <c r="G128" cm="1">
        <f t="array" aca="1" ref="G128" ca="1">INDEX($O$2:$O$34,INT(A128/$Z$1)+2)</f>
        <v>113.54366028806263</v>
      </c>
      <c r="H128">
        <f t="shared" ca="1" si="11"/>
        <v>-0.20477832851156164</v>
      </c>
      <c r="I128">
        <f t="shared" ca="1" si="12"/>
        <v>-6.1433498553468491</v>
      </c>
      <c r="J128" s="3">
        <f t="shared" ca="1" si="13"/>
        <v>113.95321694508574</v>
      </c>
      <c r="K128" s="3">
        <f t="shared" ca="1" si="14"/>
        <v>-4.8460343932617889E-2</v>
      </c>
      <c r="L128" s="3"/>
    </row>
    <row r="129" spans="1:12" x14ac:dyDescent="0.3">
      <c r="A129">
        <v>127</v>
      </c>
      <c r="B129" s="2">
        <f t="shared" si="8"/>
        <v>1417.4107142857142</v>
      </c>
      <c r="C129" s="2">
        <f t="shared" si="9"/>
        <v>3.1392052223498546E-3</v>
      </c>
      <c r="D129" s="2">
        <f t="shared" si="10"/>
        <v>45.401967510887744</v>
      </c>
      <c r="E129" s="3">
        <f t="shared" si="15"/>
        <v>113.72354151959794</v>
      </c>
      <c r="F129" cm="1">
        <f t="array" aca="1" ref="F129" ca="1">INDEX($O$2:$O$34,INT(A129/$Z$1)+1)</f>
        <v>120.0965668004326</v>
      </c>
      <c r="G129" cm="1">
        <f t="array" aca="1" ref="G129" ca="1">INDEX($O$2:$O$34,INT(A129/$Z$1)+2)</f>
        <v>113.54366028806263</v>
      </c>
      <c r="H129">
        <f t="shared" ca="1" si="11"/>
        <v>-0.20477832851156164</v>
      </c>
      <c r="I129">
        <f t="shared" ca="1" si="12"/>
        <v>-6.3481281838584103</v>
      </c>
      <c r="J129" s="3">
        <f t="shared" ca="1" si="13"/>
        <v>113.74843861657419</v>
      </c>
      <c r="K129" s="3">
        <f t="shared" ca="1" si="14"/>
        <v>-2.4897096976246758E-2</v>
      </c>
      <c r="L129" s="3"/>
    </row>
    <row r="130" spans="1:12" x14ac:dyDescent="0.3">
      <c r="A130">
        <v>128</v>
      </c>
      <c r="B130" s="2">
        <f t="shared" ref="B130:B193" si="16">$T$1*A130/($V$1-A130)</f>
        <v>1430.1675977653631</v>
      </c>
      <c r="C130" s="2">
        <f t="shared" ref="C130:C193" si="17">LOG(B130/$T$2)/$T$3 + (1/$X$2)</f>
        <v>3.1401903421063421E-3</v>
      </c>
      <c r="D130" s="2">
        <f t="shared" ref="D130:D193" si="18">1/C130 - 273.15</f>
        <v>45.302033493368128</v>
      </c>
      <c r="E130" s="3">
        <f t="shared" si="15"/>
        <v>113.54366028806263</v>
      </c>
      <c r="F130" cm="1">
        <f t="array" aca="1" ref="F130" ca="1">INDEX($O$2:$O$34,INT(A130/$Z$1)+1)</f>
        <v>113.54366028806263</v>
      </c>
      <c r="G130" cm="1">
        <f t="array" aca="1" ref="G130" ca="1">INDEX($O$2:$O$34,INT(A130/$Z$1)+2)</f>
        <v>108.38134904311713</v>
      </c>
      <c r="H130">
        <f t="shared" ca="1" si="11"/>
        <v>-0.16132222640454685</v>
      </c>
      <c r="I130">
        <f t="shared" ca="1" si="12"/>
        <v>0</v>
      </c>
      <c r="J130" s="3">
        <f t="shared" ca="1" si="13"/>
        <v>113.54366028806263</v>
      </c>
      <c r="K130" s="3">
        <f t="shared" ca="1" si="14"/>
        <v>0</v>
      </c>
      <c r="L130" s="3"/>
    </row>
    <row r="131" spans="1:12" x14ac:dyDescent="0.3">
      <c r="A131">
        <v>129</v>
      </c>
      <c r="B131" s="2">
        <f t="shared" si="16"/>
        <v>1442.9530201342282</v>
      </c>
      <c r="C131" s="2">
        <f t="shared" si="17"/>
        <v>3.1411688882256776E-3</v>
      </c>
      <c r="D131" s="2">
        <f t="shared" si="18"/>
        <v>45.202828384487361</v>
      </c>
      <c r="E131" s="3">
        <f t="shared" si="15"/>
        <v>113.36509109207725</v>
      </c>
      <c r="F131" cm="1">
        <f t="array" aca="1" ref="F131" ca="1">INDEX($O$2:$O$34,INT(A131/$Z$1)+1)</f>
        <v>113.54366028806263</v>
      </c>
      <c r="G131" cm="1">
        <f t="array" aca="1" ref="G131" ca="1">INDEX($O$2:$O$34,INT(A131/$Z$1)+2)</f>
        <v>108.38134904311713</v>
      </c>
      <c r="H131">
        <f t="shared" ref="H131:H194" ca="1" si="19">(G131-F131)/$Z$1</f>
        <v>-0.16132222640454685</v>
      </c>
      <c r="I131">
        <f t="shared" ref="I131:I194" ca="1" si="20">H131*MOD(A131,$Z$1)</f>
        <v>-0.16132222640454685</v>
      </c>
      <c r="J131" s="3">
        <f t="shared" ref="J131:J194" ca="1" si="21">F131+I131</f>
        <v>113.38233806165807</v>
      </c>
      <c r="K131" s="3">
        <f t="shared" ref="K131:K194" ca="1" si="22">E131-J131</f>
        <v>-1.7246969580824612E-2</v>
      </c>
      <c r="L131" s="3"/>
    </row>
    <row r="132" spans="1:12" x14ac:dyDescent="0.3">
      <c r="A132">
        <v>130</v>
      </c>
      <c r="B132" s="2">
        <f t="shared" si="16"/>
        <v>1455.7670772676372</v>
      </c>
      <c r="C132" s="2">
        <f t="shared" si="17"/>
        <v>3.1421409646598445E-3</v>
      </c>
      <c r="D132" s="2">
        <f t="shared" si="18"/>
        <v>45.104340351740404</v>
      </c>
      <c r="E132" s="3">
        <f t="shared" ref="E132:E195" si="23">D132*9/5 + 32</f>
        <v>113.18781263313272</v>
      </c>
      <c r="F132" cm="1">
        <f t="array" aca="1" ref="F132" ca="1">INDEX($O$2:$O$34,INT(A132/$Z$1)+1)</f>
        <v>113.54366028806263</v>
      </c>
      <c r="G132" cm="1">
        <f t="array" aca="1" ref="G132" ca="1">INDEX($O$2:$O$34,INT(A132/$Z$1)+2)</f>
        <v>108.38134904311713</v>
      </c>
      <c r="H132">
        <f t="shared" ca="1" si="19"/>
        <v>-0.16132222640454685</v>
      </c>
      <c r="I132">
        <f t="shared" ca="1" si="20"/>
        <v>-0.32264445280909371</v>
      </c>
      <c r="J132" s="3">
        <f t="shared" ca="1" si="21"/>
        <v>113.22101583525352</v>
      </c>
      <c r="K132" s="3">
        <f t="shared" ca="1" si="22"/>
        <v>-3.3203202120802189E-2</v>
      </c>
      <c r="L132" s="3"/>
    </row>
    <row r="133" spans="1:12" x14ac:dyDescent="0.3">
      <c r="A133">
        <v>131</v>
      </c>
      <c r="B133" s="2">
        <f t="shared" si="16"/>
        <v>1468.6098654708521</v>
      </c>
      <c r="C133" s="2">
        <f t="shared" si="17"/>
        <v>3.1431066729791738E-3</v>
      </c>
      <c r="D133" s="2">
        <f t="shared" si="18"/>
        <v>45.006557840321818</v>
      </c>
      <c r="E133" s="3">
        <f t="shared" si="23"/>
        <v>113.01180411257927</v>
      </c>
      <c r="F133" cm="1">
        <f t="array" aca="1" ref="F133" ca="1">INDEX($O$2:$O$34,INT(A133/$Z$1)+1)</f>
        <v>113.54366028806263</v>
      </c>
      <c r="G133" cm="1">
        <f t="array" aca="1" ref="G133" ca="1">INDEX($O$2:$O$34,INT(A133/$Z$1)+2)</f>
        <v>108.38134904311713</v>
      </c>
      <c r="H133">
        <f t="shared" ca="1" si="19"/>
        <v>-0.16132222640454685</v>
      </c>
      <c r="I133">
        <f t="shared" ca="1" si="20"/>
        <v>-0.48396667921364056</v>
      </c>
      <c r="J133" s="3">
        <f t="shared" ca="1" si="21"/>
        <v>113.05969360884899</v>
      </c>
      <c r="K133" s="3">
        <f t="shared" ca="1" si="22"/>
        <v>-4.7889496269718279E-2</v>
      </c>
      <c r="L133" s="3"/>
    </row>
    <row r="134" spans="1:12" x14ac:dyDescent="0.3">
      <c r="A134">
        <v>132</v>
      </c>
      <c r="B134" s="2">
        <f t="shared" si="16"/>
        <v>1481.4814814814815</v>
      </c>
      <c r="C134" s="2">
        <f t="shared" si="17"/>
        <v>3.1440661124448278E-3</v>
      </c>
      <c r="D134" s="2">
        <f t="shared" si="18"/>
        <v>44.909469564524954</v>
      </c>
      <c r="E134" s="3">
        <f t="shared" si="23"/>
        <v>112.83704521614492</v>
      </c>
      <c r="F134" cm="1">
        <f t="array" aca="1" ref="F134" ca="1">INDEX($O$2:$O$34,INT(A134/$Z$1)+1)</f>
        <v>113.54366028806263</v>
      </c>
      <c r="G134" cm="1">
        <f t="array" aca="1" ref="G134" ca="1">INDEX($O$2:$O$34,INT(A134/$Z$1)+2)</f>
        <v>108.38134904311713</v>
      </c>
      <c r="H134">
        <f t="shared" ca="1" si="19"/>
        <v>-0.16132222640454685</v>
      </c>
      <c r="I134">
        <f t="shared" ca="1" si="20"/>
        <v>-0.64528890561818741</v>
      </c>
      <c r="J134" s="3">
        <f t="shared" ca="1" si="21"/>
        <v>112.89837138244444</v>
      </c>
      <c r="K134" s="3">
        <f t="shared" ca="1" si="22"/>
        <v>-6.1326166299522811E-2</v>
      </c>
      <c r="L134" s="3"/>
    </row>
    <row r="135" spans="1:12" x14ac:dyDescent="0.3">
      <c r="A135">
        <v>133</v>
      </c>
      <c r="B135" s="2">
        <f t="shared" si="16"/>
        <v>1494.3820224719102</v>
      </c>
      <c r="C135" s="2">
        <f t="shared" si="17"/>
        <v>3.1450193800785487E-3</v>
      </c>
      <c r="D135" s="2">
        <f t="shared" si="18"/>
        <v>44.813064499470443</v>
      </c>
      <c r="E135" s="3">
        <f t="shared" si="23"/>
        <v>112.6635160990468</v>
      </c>
      <c r="F135" cm="1">
        <f t="array" aca="1" ref="F135" ca="1">INDEX($O$2:$O$34,INT(A135/$Z$1)+1)</f>
        <v>113.54366028806263</v>
      </c>
      <c r="G135" cm="1">
        <f t="array" aca="1" ref="G135" ca="1">INDEX($O$2:$O$34,INT(A135/$Z$1)+2)</f>
        <v>108.38134904311713</v>
      </c>
      <c r="H135">
        <f t="shared" ca="1" si="19"/>
        <v>-0.16132222640454685</v>
      </c>
      <c r="I135">
        <f t="shared" ca="1" si="20"/>
        <v>-0.80661113202273427</v>
      </c>
      <c r="J135" s="3">
        <f t="shared" ca="1" si="21"/>
        <v>112.73704915603989</v>
      </c>
      <c r="K135" s="3">
        <f t="shared" ca="1" si="22"/>
        <v>-7.3533056993085211E-2</v>
      </c>
      <c r="L135" s="3"/>
    </row>
    <row r="136" spans="1:12" x14ac:dyDescent="0.3">
      <c r="A136">
        <v>134</v>
      </c>
      <c r="B136" s="2">
        <f t="shared" si="16"/>
        <v>1507.3115860517435</v>
      </c>
      <c r="C136" s="2">
        <f t="shared" si="17"/>
        <v>3.1459665707297946E-3</v>
      </c>
      <c r="D136" s="2">
        <f t="shared" si="18"/>
        <v>44.717331873148964</v>
      </c>
      <c r="E136" s="3">
        <f t="shared" si="23"/>
        <v>112.49119737166814</v>
      </c>
      <c r="F136" cm="1">
        <f t="array" aca="1" ref="F136" ca="1">INDEX($O$2:$O$34,INT(A136/$Z$1)+1)</f>
        <v>113.54366028806263</v>
      </c>
      <c r="G136" cm="1">
        <f t="array" aca="1" ref="G136" ca="1">INDEX($O$2:$O$34,INT(A136/$Z$1)+2)</f>
        <v>108.38134904311713</v>
      </c>
      <c r="H136">
        <f t="shared" ca="1" si="19"/>
        <v>-0.16132222640454685</v>
      </c>
      <c r="I136">
        <f t="shared" ca="1" si="20"/>
        <v>-0.96793335842728112</v>
      </c>
      <c r="J136" s="3">
        <f t="shared" ca="1" si="21"/>
        <v>112.57572692963535</v>
      </c>
      <c r="K136" s="3">
        <f t="shared" ca="1" si="22"/>
        <v>-8.4529557967215396E-2</v>
      </c>
      <c r="L136" s="3"/>
    </row>
    <row r="137" spans="1:12" x14ac:dyDescent="0.3">
      <c r="A137">
        <v>135</v>
      </c>
      <c r="B137" s="2">
        <f t="shared" si="16"/>
        <v>1520.2702702702702</v>
      </c>
      <c r="C137" s="2">
        <f t="shared" si="17"/>
        <v>3.1469077771403798E-3</v>
      </c>
      <c r="D137" s="2">
        <f t="shared" si="18"/>
        <v>44.622261158764559</v>
      </c>
      <c r="E137" s="3">
        <f t="shared" si="23"/>
        <v>112.32007008577621</v>
      </c>
      <c r="F137" cm="1">
        <f t="array" aca="1" ref="F137" ca="1">INDEX($O$2:$O$34,INT(A137/$Z$1)+1)</f>
        <v>113.54366028806263</v>
      </c>
      <c r="G137" cm="1">
        <f t="array" aca="1" ref="G137" ca="1">INDEX($O$2:$O$34,INT(A137/$Z$1)+2)</f>
        <v>108.38134904311713</v>
      </c>
      <c r="H137">
        <f t="shared" ca="1" si="19"/>
        <v>-0.16132222640454685</v>
      </c>
      <c r="I137">
        <f t="shared" ca="1" si="20"/>
        <v>-1.129255584831828</v>
      </c>
      <c r="J137" s="3">
        <f t="shared" ca="1" si="21"/>
        <v>112.4144047032308</v>
      </c>
      <c r="K137" s="3">
        <f t="shared" ca="1" si="22"/>
        <v>-9.4334617454592262E-2</v>
      </c>
      <c r="L137" s="3"/>
    </row>
    <row r="138" spans="1:12" x14ac:dyDescent="0.3">
      <c r="A138">
        <v>136</v>
      </c>
      <c r="B138" s="2">
        <f t="shared" si="16"/>
        <v>1533.2581736189402</v>
      </c>
      <c r="C138" s="2">
        <f t="shared" si="17"/>
        <v>3.1478430900067304E-3</v>
      </c>
      <c r="D138" s="2">
        <f t="shared" si="18"/>
        <v>44.527842067363679</v>
      </c>
      <c r="E138" s="3">
        <f t="shared" si="23"/>
        <v>112.15011572125462</v>
      </c>
      <c r="F138" cm="1">
        <f t="array" aca="1" ref="F138" ca="1">INDEX($O$2:$O$34,INT(A138/$Z$1)+1)</f>
        <v>113.54366028806263</v>
      </c>
      <c r="G138" cm="1">
        <f t="array" aca="1" ref="G138" ca="1">INDEX($O$2:$O$34,INT(A138/$Z$1)+2)</f>
        <v>108.38134904311713</v>
      </c>
      <c r="H138">
        <f t="shared" ca="1" si="19"/>
        <v>-0.16132222640454685</v>
      </c>
      <c r="I138">
        <f t="shared" ca="1" si="20"/>
        <v>-1.2905778112363748</v>
      </c>
      <c r="J138" s="3">
        <f t="shared" ca="1" si="21"/>
        <v>112.25308247682625</v>
      </c>
      <c r="K138" s="3">
        <f t="shared" ca="1" si="22"/>
        <v>-0.10296675557162871</v>
      </c>
      <c r="L138" s="3"/>
    </row>
    <row r="139" spans="1:12" x14ac:dyDescent="0.3">
      <c r="A139">
        <v>137</v>
      </c>
      <c r="B139" s="2">
        <f t="shared" si="16"/>
        <v>1546.2753950338601</v>
      </c>
      <c r="C139" s="2">
        <f t="shared" si="17"/>
        <v>3.1487725980398609E-3</v>
      </c>
      <c r="D139" s="2">
        <f t="shared" si="18"/>
        <v>44.434064540738518</v>
      </c>
      <c r="E139" s="3">
        <f t="shared" si="23"/>
        <v>111.98131617332933</v>
      </c>
      <c r="F139" cm="1">
        <f t="array" aca="1" ref="F139" ca="1">INDEX($O$2:$O$34,INT(A139/$Z$1)+1)</f>
        <v>113.54366028806263</v>
      </c>
      <c r="G139" cm="1">
        <f t="array" aca="1" ref="G139" ca="1">INDEX($O$2:$O$34,INT(A139/$Z$1)+2)</f>
        <v>108.38134904311713</v>
      </c>
      <c r="H139">
        <f t="shared" ca="1" si="19"/>
        <v>-0.16132222640454685</v>
      </c>
      <c r="I139">
        <f t="shared" ca="1" si="20"/>
        <v>-1.4519000376409217</v>
      </c>
      <c r="J139" s="3">
        <f t="shared" ca="1" si="21"/>
        <v>112.0917602504217</v>
      </c>
      <c r="K139" s="3">
        <f t="shared" ca="1" si="22"/>
        <v>-0.11044407709236737</v>
      </c>
      <c r="L139" s="3"/>
    </row>
    <row r="140" spans="1:12" x14ac:dyDescent="0.3">
      <c r="A140">
        <v>138</v>
      </c>
      <c r="B140" s="2">
        <f t="shared" si="16"/>
        <v>1559.3220338983051</v>
      </c>
      <c r="C140" s="2">
        <f t="shared" si="17"/>
        <v>3.1496963880231661E-3</v>
      </c>
      <c r="D140" s="2">
        <f t="shared" si="18"/>
        <v>44.34091874459267</v>
      </c>
      <c r="E140" s="3">
        <f t="shared" si="23"/>
        <v>111.8136537402668</v>
      </c>
      <c r="F140" cm="1">
        <f t="array" aca="1" ref="F140" ca="1">INDEX($O$2:$O$34,INT(A140/$Z$1)+1)</f>
        <v>113.54366028806263</v>
      </c>
      <c r="G140" cm="1">
        <f t="array" aca="1" ref="G140" ca="1">INDEX($O$2:$O$34,INT(A140/$Z$1)+2)</f>
        <v>108.38134904311713</v>
      </c>
      <c r="H140">
        <f t="shared" ca="1" si="19"/>
        <v>-0.16132222640454685</v>
      </c>
      <c r="I140">
        <f t="shared" ca="1" si="20"/>
        <v>-1.6132222640454685</v>
      </c>
      <c r="J140" s="3">
        <f t="shared" ca="1" si="21"/>
        <v>111.93043802401715</v>
      </c>
      <c r="K140" s="3">
        <f t="shared" ca="1" si="22"/>
        <v>-0.11678428375034855</v>
      </c>
      <c r="L140" s="3"/>
    </row>
    <row r="141" spans="1:12" x14ac:dyDescent="0.3">
      <c r="A141">
        <v>139</v>
      </c>
      <c r="B141" s="2">
        <f t="shared" si="16"/>
        <v>1572.3981900452488</v>
      </c>
      <c r="C141" s="2">
        <f t="shared" si="17"/>
        <v>3.150614544868131E-3</v>
      </c>
      <c r="D141" s="2">
        <f t="shared" si="18"/>
        <v>44.248395061956103</v>
      </c>
      <c r="E141" s="3">
        <f t="shared" si="23"/>
        <v>111.64711111152099</v>
      </c>
      <c r="F141" cm="1">
        <f t="array" aca="1" ref="F141" ca="1">INDEX($O$2:$O$34,INT(A141/$Z$1)+1)</f>
        <v>113.54366028806263</v>
      </c>
      <c r="G141" cm="1">
        <f t="array" aca="1" ref="G141" ca="1">INDEX($O$2:$O$34,INT(A141/$Z$1)+2)</f>
        <v>108.38134904311713</v>
      </c>
      <c r="H141">
        <f t="shared" ca="1" si="19"/>
        <v>-0.16132222640454685</v>
      </c>
      <c r="I141">
        <f t="shared" ca="1" si="20"/>
        <v>-1.7745444904500154</v>
      </c>
      <c r="J141" s="3">
        <f t="shared" ca="1" si="21"/>
        <v>111.76911579761261</v>
      </c>
      <c r="K141" s="3">
        <f t="shared" ca="1" si="22"/>
        <v>-0.1220046860916284</v>
      </c>
      <c r="L141" s="3"/>
    </row>
    <row r="142" spans="1:12" x14ac:dyDescent="0.3">
      <c r="A142">
        <v>140</v>
      </c>
      <c r="B142" s="2">
        <f t="shared" si="16"/>
        <v>1585.5039637599093</v>
      </c>
      <c r="C142" s="2">
        <f t="shared" si="17"/>
        <v>3.1515271516680417E-3</v>
      </c>
      <c r="D142" s="2">
        <f t="shared" si="18"/>
        <v>44.156484086840123</v>
      </c>
      <c r="E142" s="3">
        <f t="shared" si="23"/>
        <v>111.48167135631222</v>
      </c>
      <c r="F142" cm="1">
        <f t="array" aca="1" ref="F142" ca="1">INDEX($O$2:$O$34,INT(A142/$Z$1)+1)</f>
        <v>113.54366028806263</v>
      </c>
      <c r="G142" cm="1">
        <f t="array" aca="1" ref="G142" ca="1">INDEX($O$2:$O$34,INT(A142/$Z$1)+2)</f>
        <v>108.38134904311713</v>
      </c>
      <c r="H142">
        <f t="shared" ca="1" si="19"/>
        <v>-0.16132222640454685</v>
      </c>
      <c r="I142">
        <f t="shared" ca="1" si="20"/>
        <v>-1.9358667168545622</v>
      </c>
      <c r="J142" s="3">
        <f t="shared" ca="1" si="21"/>
        <v>111.60779357120806</v>
      </c>
      <c r="K142" s="3">
        <f t="shared" ca="1" si="22"/>
        <v>-0.12612221489584385</v>
      </c>
      <c r="L142" s="3"/>
    </row>
    <row r="143" spans="1:12" x14ac:dyDescent="0.3">
      <c r="A143">
        <v>141</v>
      </c>
      <c r="B143" s="2">
        <f t="shared" si="16"/>
        <v>1598.639455782313</v>
      </c>
      <c r="C143" s="2">
        <f t="shared" si="17"/>
        <v>3.1524342897497862E-3</v>
      </c>
      <c r="D143" s="2">
        <f t="shared" si="18"/>
        <v>44.065176618121257</v>
      </c>
      <c r="E143" s="3">
        <f t="shared" si="23"/>
        <v>111.31731791261826</v>
      </c>
      <c r="F143" cm="1">
        <f t="array" aca="1" ref="F143" ca="1">INDEX($O$2:$O$34,INT(A143/$Z$1)+1)</f>
        <v>113.54366028806263</v>
      </c>
      <c r="G143" cm="1">
        <f t="array" aca="1" ref="G143" ca="1">INDEX($O$2:$O$34,INT(A143/$Z$1)+2)</f>
        <v>108.38134904311713</v>
      </c>
      <c r="H143">
        <f t="shared" ca="1" si="19"/>
        <v>-0.16132222640454685</v>
      </c>
      <c r="I143">
        <f t="shared" ca="1" si="20"/>
        <v>-2.0971889432591091</v>
      </c>
      <c r="J143" s="3">
        <f t="shared" ca="1" si="21"/>
        <v>111.44647134480351</v>
      </c>
      <c r="K143" s="3">
        <f t="shared" ca="1" si="22"/>
        <v>-0.12915343218524811</v>
      </c>
      <c r="L143" s="3"/>
    </row>
    <row r="144" spans="1:12" x14ac:dyDescent="0.3">
      <c r="A144">
        <v>142</v>
      </c>
      <c r="B144" s="2">
        <f t="shared" si="16"/>
        <v>1611.8047673098752</v>
      </c>
      <c r="C144" s="2">
        <f t="shared" si="17"/>
        <v>3.1533360387238237E-3</v>
      </c>
      <c r="D144" s="2">
        <f t="shared" si="18"/>
        <v>43.974463653644364</v>
      </c>
      <c r="E144" s="3">
        <f t="shared" si="23"/>
        <v>111.15403457655985</v>
      </c>
      <c r="F144" cm="1">
        <f t="array" aca="1" ref="F144" ca="1">INDEX($O$2:$O$34,INT(A144/$Z$1)+1)</f>
        <v>113.54366028806263</v>
      </c>
      <c r="G144" cm="1">
        <f t="array" aca="1" ref="G144" ca="1">INDEX($O$2:$O$34,INT(A144/$Z$1)+2)</f>
        <v>108.38134904311713</v>
      </c>
      <c r="H144">
        <f t="shared" ca="1" si="19"/>
        <v>-0.16132222640454685</v>
      </c>
      <c r="I144">
        <f t="shared" ca="1" si="20"/>
        <v>-2.2585111696636559</v>
      </c>
      <c r="J144" s="3">
        <f t="shared" ca="1" si="21"/>
        <v>111.28514911839898</v>
      </c>
      <c r="K144" s="3">
        <f t="shared" ca="1" si="22"/>
        <v>-0.13111454183912485</v>
      </c>
      <c r="L144" s="3"/>
    </row>
    <row r="145" spans="1:12" x14ac:dyDescent="0.3">
      <c r="A145">
        <v>143</v>
      </c>
      <c r="B145" s="2">
        <f t="shared" si="16"/>
        <v>1625</v>
      </c>
      <c r="C145" s="2">
        <f t="shared" si="17"/>
        <v>3.1542324765324019E-3</v>
      </c>
      <c r="D145" s="2">
        <f t="shared" si="18"/>
        <v>43.884336384535516</v>
      </c>
      <c r="E145" s="3">
        <f t="shared" si="23"/>
        <v>110.99180549216393</v>
      </c>
      <c r="F145" cm="1">
        <f t="array" aca="1" ref="F145" ca="1">INDEX($O$2:$O$34,INT(A145/$Z$1)+1)</f>
        <v>113.54366028806263</v>
      </c>
      <c r="G145" cm="1">
        <f t="array" aca="1" ref="G145" ca="1">INDEX($O$2:$O$34,INT(A145/$Z$1)+2)</f>
        <v>108.38134904311713</v>
      </c>
      <c r="H145">
        <f t="shared" ca="1" si="19"/>
        <v>-0.16132222640454685</v>
      </c>
      <c r="I145">
        <f t="shared" ca="1" si="20"/>
        <v>-2.4198333960682028</v>
      </c>
      <c r="J145" s="3">
        <f t="shared" ca="1" si="21"/>
        <v>111.12382689199443</v>
      </c>
      <c r="K145" s="3">
        <f t="shared" ca="1" si="22"/>
        <v>-0.13202139983049221</v>
      </c>
      <c r="L145" s="3"/>
    </row>
    <row r="146" spans="1:12" x14ac:dyDescent="0.3">
      <c r="A146">
        <v>144</v>
      </c>
      <c r="B146" s="2">
        <f t="shared" si="16"/>
        <v>1638.2252559726962</v>
      </c>
      <c r="C146" s="2">
        <f t="shared" si="17"/>
        <v>3.1551236794960941E-3</v>
      </c>
      <c r="D146" s="2">
        <f t="shared" si="18"/>
        <v>43.794786189716149</v>
      </c>
      <c r="E146" s="3">
        <f t="shared" si="23"/>
        <v>110.83061514148906</v>
      </c>
      <c r="F146" cm="1">
        <f t="array" aca="1" ref="F146" ca="1">INDEX($O$2:$O$34,INT(A146/$Z$1)+1)</f>
        <v>113.54366028806263</v>
      </c>
      <c r="G146" cm="1">
        <f t="array" aca="1" ref="G146" ca="1">INDEX($O$2:$O$34,INT(A146/$Z$1)+2)</f>
        <v>108.38134904311713</v>
      </c>
      <c r="H146">
        <f t="shared" ca="1" si="19"/>
        <v>-0.16132222640454685</v>
      </c>
      <c r="I146">
        <f t="shared" ca="1" si="20"/>
        <v>-2.5811556224727497</v>
      </c>
      <c r="J146" s="3">
        <f t="shared" ca="1" si="21"/>
        <v>110.96250466558988</v>
      </c>
      <c r="K146" s="3">
        <f t="shared" ca="1" si="22"/>
        <v>-0.13188952410081356</v>
      </c>
      <c r="L146" s="3"/>
    </row>
    <row r="147" spans="1:12" x14ac:dyDescent="0.3">
      <c r="A147">
        <v>145</v>
      </c>
      <c r="B147" s="2">
        <f t="shared" si="16"/>
        <v>1651.4806378132118</v>
      </c>
      <c r="C147" s="2">
        <f t="shared" si="17"/>
        <v>3.1560097223587258E-3</v>
      </c>
      <c r="D147" s="2">
        <f t="shared" si="18"/>
        <v>43.70580463060935</v>
      </c>
      <c r="E147" s="3">
        <f t="shared" si="23"/>
        <v>110.67044833509684</v>
      </c>
      <c r="F147" cm="1">
        <f t="array" aca="1" ref="F147" ca="1">INDEX($O$2:$O$34,INT(A147/$Z$1)+1)</f>
        <v>113.54366028806263</v>
      </c>
      <c r="G147" cm="1">
        <f t="array" aca="1" ref="G147" ca="1">INDEX($O$2:$O$34,INT(A147/$Z$1)+2)</f>
        <v>108.38134904311713</v>
      </c>
      <c r="H147">
        <f t="shared" ca="1" si="19"/>
        <v>-0.16132222640454685</v>
      </c>
      <c r="I147">
        <f t="shared" ca="1" si="20"/>
        <v>-2.7424778488772965</v>
      </c>
      <c r="J147" s="3">
        <f t="shared" ca="1" si="21"/>
        <v>110.80118243918533</v>
      </c>
      <c r="K147" s="3">
        <f t="shared" ca="1" si="22"/>
        <v>-0.13073410408848929</v>
      </c>
      <c r="L147" s="3"/>
    </row>
    <row r="148" spans="1:12" x14ac:dyDescent="0.3">
      <c r="A148">
        <v>146</v>
      </c>
      <c r="B148" s="2">
        <f t="shared" si="16"/>
        <v>1664.7662485746864</v>
      </c>
      <c r="C148" s="2">
        <f t="shared" si="17"/>
        <v>3.1568906783307573E-3</v>
      </c>
      <c r="D148" s="2">
        <f t="shared" si="18"/>
        <v>43.617383446031056</v>
      </c>
      <c r="E148" s="3">
        <f t="shared" si="23"/>
        <v>110.5112902028559</v>
      </c>
      <c r="F148" cm="1">
        <f t="array" aca="1" ref="F148" ca="1">INDEX($O$2:$O$34,INT(A148/$Z$1)+1)</f>
        <v>113.54366028806263</v>
      </c>
      <c r="G148" cm="1">
        <f t="array" aca="1" ref="G148" ca="1">INDEX($O$2:$O$34,INT(A148/$Z$1)+2)</f>
        <v>108.38134904311713</v>
      </c>
      <c r="H148">
        <f t="shared" ca="1" si="19"/>
        <v>-0.16132222640454685</v>
      </c>
      <c r="I148">
        <f t="shared" ca="1" si="20"/>
        <v>-2.9038000752818434</v>
      </c>
      <c r="J148" s="3">
        <f t="shared" ca="1" si="21"/>
        <v>110.63986021278077</v>
      </c>
      <c r="K148" s="3">
        <f t="shared" ca="1" si="22"/>
        <v>-0.12857000992487144</v>
      </c>
      <c r="L148" s="3"/>
    </row>
    <row r="149" spans="1:12" x14ac:dyDescent="0.3">
      <c r="A149">
        <v>147</v>
      </c>
      <c r="B149" s="2">
        <f t="shared" si="16"/>
        <v>1678.0821917808219</v>
      </c>
      <c r="C149" s="2">
        <f t="shared" si="17"/>
        <v>3.1577666191311875E-3</v>
      </c>
      <c r="D149" s="2">
        <f t="shared" si="18"/>
        <v>43.529514547257804</v>
      </c>
      <c r="E149" s="3">
        <f t="shared" si="23"/>
        <v>110.35312618506404</v>
      </c>
      <c r="F149" cm="1">
        <f t="array" aca="1" ref="F149" ca="1">INDEX($O$2:$O$34,INT(A149/$Z$1)+1)</f>
        <v>113.54366028806263</v>
      </c>
      <c r="G149" cm="1">
        <f t="array" aca="1" ref="G149" ca="1">INDEX($O$2:$O$34,INT(A149/$Z$1)+2)</f>
        <v>108.38134904311713</v>
      </c>
      <c r="H149">
        <f t="shared" ca="1" si="19"/>
        <v>-0.16132222640454685</v>
      </c>
      <c r="I149">
        <f t="shared" ca="1" si="20"/>
        <v>-3.0651223016863902</v>
      </c>
      <c r="J149" s="3">
        <f t="shared" ca="1" si="21"/>
        <v>110.47853798637624</v>
      </c>
      <c r="K149" s="3">
        <f t="shared" ca="1" si="22"/>
        <v>-0.12541180131219676</v>
      </c>
      <c r="L149" s="3"/>
    </row>
    <row r="150" spans="1:12" x14ac:dyDescent="0.3">
      <c r="A150">
        <v>148</v>
      </c>
      <c r="B150" s="2">
        <f t="shared" si="16"/>
        <v>1691.4285714285713</v>
      </c>
      <c r="C150" s="2">
        <f t="shared" si="17"/>
        <v>3.1586376150280352E-3</v>
      </c>
      <c r="D150" s="2">
        <f t="shared" si="18"/>
        <v>43.442190013264451</v>
      </c>
      <c r="E150" s="3">
        <f t="shared" si="23"/>
        <v>110.19594202387601</v>
      </c>
      <c r="F150" cm="1">
        <f t="array" aca="1" ref="F150" ca="1">INDEX($O$2:$O$34,INT(A150/$Z$1)+1)</f>
        <v>113.54366028806263</v>
      </c>
      <c r="G150" cm="1">
        <f t="array" aca="1" ref="G150" ca="1">INDEX($O$2:$O$34,INT(A150/$Z$1)+2)</f>
        <v>108.38134904311713</v>
      </c>
      <c r="H150">
        <f t="shared" ca="1" si="19"/>
        <v>-0.16132222640454685</v>
      </c>
      <c r="I150">
        <f t="shared" ca="1" si="20"/>
        <v>-3.2264445280909371</v>
      </c>
      <c r="J150" s="3">
        <f t="shared" ca="1" si="21"/>
        <v>110.31721575997169</v>
      </c>
      <c r="K150" s="3">
        <f t="shared" ca="1" si="22"/>
        <v>-0.12127373609567371</v>
      </c>
      <c r="L150" s="3"/>
    </row>
    <row r="151" spans="1:12" x14ac:dyDescent="0.3">
      <c r="A151">
        <v>149</v>
      </c>
      <c r="B151" s="2">
        <f t="shared" si="16"/>
        <v>1704.8054919908466</v>
      </c>
      <c r="C151" s="2">
        <f t="shared" si="17"/>
        <v>3.1595037348774598E-3</v>
      </c>
      <c r="D151" s="2">
        <f t="shared" si="18"/>
        <v>43.355402086123718</v>
      </c>
      <c r="E151" s="3">
        <f t="shared" si="23"/>
        <v>110.03972375502269</v>
      </c>
      <c r="F151" cm="1">
        <f t="array" aca="1" ref="F151" ca="1">INDEX($O$2:$O$34,INT(A151/$Z$1)+1)</f>
        <v>113.54366028806263</v>
      </c>
      <c r="G151" cm="1">
        <f t="array" aca="1" ref="G151" ca="1">INDEX($O$2:$O$34,INT(A151/$Z$1)+2)</f>
        <v>108.38134904311713</v>
      </c>
      <c r="H151">
        <f t="shared" ca="1" si="19"/>
        <v>-0.16132222640454685</v>
      </c>
      <c r="I151">
        <f t="shared" ca="1" si="20"/>
        <v>-3.3877667544954839</v>
      </c>
      <c r="J151" s="3">
        <f t="shared" ca="1" si="21"/>
        <v>110.15589353356714</v>
      </c>
      <c r="K151" s="3">
        <f t="shared" ca="1" si="22"/>
        <v>-0.11616977854444599</v>
      </c>
      <c r="L151" s="3"/>
    </row>
    <row r="152" spans="1:12" x14ac:dyDescent="0.3">
      <c r="A152">
        <v>150</v>
      </c>
      <c r="B152" s="2">
        <f t="shared" si="16"/>
        <v>1718.2130584192439</v>
      </c>
      <c r="C152" s="2">
        <f t="shared" si="17"/>
        <v>3.1603650461615711E-3</v>
      </c>
      <c r="D152" s="2">
        <f t="shared" si="18"/>
        <v>43.26914316656314</v>
      </c>
      <c r="E152" s="3">
        <f t="shared" si="23"/>
        <v>109.88445769981365</v>
      </c>
      <c r="F152" cm="1">
        <f t="array" aca="1" ref="F152" ca="1">INDEX($O$2:$O$34,INT(A152/$Z$1)+1)</f>
        <v>113.54366028806263</v>
      </c>
      <c r="G152" cm="1">
        <f t="array" aca="1" ref="G152" ca="1">INDEX($O$2:$O$34,INT(A152/$Z$1)+2)</f>
        <v>108.38134904311713</v>
      </c>
      <c r="H152">
        <f t="shared" ca="1" si="19"/>
        <v>-0.16132222640454685</v>
      </c>
      <c r="I152">
        <f t="shared" ca="1" si="20"/>
        <v>-3.5490889809000308</v>
      </c>
      <c r="J152" s="3">
        <f t="shared" ca="1" si="21"/>
        <v>109.9945713071626</v>
      </c>
      <c r="K152" s="3">
        <f t="shared" ca="1" si="22"/>
        <v>-0.11011360734894993</v>
      </c>
      <c r="L152" s="3"/>
    </row>
    <row r="153" spans="1:12" x14ac:dyDescent="0.3">
      <c r="A153">
        <v>151</v>
      </c>
      <c r="B153" s="2">
        <f t="shared" si="16"/>
        <v>1731.6513761467891</v>
      </c>
      <c r="C153" s="2">
        <f t="shared" si="17"/>
        <v>3.1612216150249868E-3</v>
      </c>
      <c r="D153" s="2">
        <f t="shared" si="18"/>
        <v>43.183405809670148</v>
      </c>
      <c r="E153" s="3">
        <f t="shared" si="23"/>
        <v>109.73013045740626</v>
      </c>
      <c r="F153" cm="1">
        <f t="array" aca="1" ref="F153" ca="1">INDEX($O$2:$O$34,INT(A153/$Z$1)+1)</f>
        <v>113.54366028806263</v>
      </c>
      <c r="G153" cm="1">
        <f t="array" aca="1" ref="G153" ca="1">INDEX($O$2:$O$34,INT(A153/$Z$1)+2)</f>
        <v>108.38134904311713</v>
      </c>
      <c r="H153">
        <f t="shared" ca="1" si="19"/>
        <v>-0.16132222640454685</v>
      </c>
      <c r="I153">
        <f t="shared" ca="1" si="20"/>
        <v>-3.7104112073045776</v>
      </c>
      <c r="J153" s="3">
        <f t="shared" ca="1" si="21"/>
        <v>109.83324908075805</v>
      </c>
      <c r="K153" s="3">
        <f t="shared" ca="1" si="22"/>
        <v>-0.10311862335179001</v>
      </c>
      <c r="L153" s="3"/>
    </row>
    <row r="154" spans="1:12" x14ac:dyDescent="0.3">
      <c r="A154">
        <v>152</v>
      </c>
      <c r="B154" s="2">
        <f t="shared" si="16"/>
        <v>1745.1205510907002</v>
      </c>
      <c r="C154" s="2">
        <f t="shared" si="17"/>
        <v>3.1620735063101783E-3</v>
      </c>
      <c r="D154" s="2">
        <f t="shared" si="18"/>
        <v>43.098182720742443</v>
      </c>
      <c r="E154" s="3">
        <f t="shared" si="23"/>
        <v>109.57672889733639</v>
      </c>
      <c r="F154" cm="1">
        <f t="array" aca="1" ref="F154" ca="1">INDEX($O$2:$O$34,INT(A154/$Z$1)+1)</f>
        <v>113.54366028806263</v>
      </c>
      <c r="G154" cm="1">
        <f t="array" aca="1" ref="G154" ca="1">INDEX($O$2:$O$34,INT(A154/$Z$1)+2)</f>
        <v>108.38134904311713</v>
      </c>
      <c r="H154">
        <f t="shared" ca="1" si="19"/>
        <v>-0.16132222640454685</v>
      </c>
      <c r="I154">
        <f t="shared" ca="1" si="20"/>
        <v>-3.8717334337091245</v>
      </c>
      <c r="J154" s="3">
        <f t="shared" ca="1" si="21"/>
        <v>109.6719268543535</v>
      </c>
      <c r="K154" s="3">
        <f t="shared" ca="1" si="22"/>
        <v>-9.5197957017106205E-2</v>
      </c>
      <c r="L154" s="3"/>
    </row>
    <row r="155" spans="1:12" x14ac:dyDescent="0.3">
      <c r="A155">
        <v>153</v>
      </c>
      <c r="B155" s="2">
        <f t="shared" si="16"/>
        <v>1758.6206896551723</v>
      </c>
      <c r="C155" s="2">
        <f t="shared" si="17"/>
        <v>3.1629207835916647E-3</v>
      </c>
      <c r="D155" s="2">
        <f t="shared" si="18"/>
        <v>43.013466751275018</v>
      </c>
      <c r="E155" s="3">
        <f t="shared" si="23"/>
        <v>109.42424015229503</v>
      </c>
      <c r="F155" cm="1">
        <f t="array" aca="1" ref="F155" ca="1">INDEX($O$2:$O$34,INT(A155/$Z$1)+1)</f>
        <v>113.54366028806263</v>
      </c>
      <c r="G155" cm="1">
        <f t="array" aca="1" ref="G155" ca="1">INDEX($O$2:$O$34,INT(A155/$Z$1)+2)</f>
        <v>108.38134904311713</v>
      </c>
      <c r="H155">
        <f t="shared" ca="1" si="19"/>
        <v>-0.16132222640454685</v>
      </c>
      <c r="I155">
        <f t="shared" ca="1" si="20"/>
        <v>-4.0330556601136713</v>
      </c>
      <c r="J155" s="3">
        <f t="shared" ca="1" si="21"/>
        <v>109.51060462794895</v>
      </c>
      <c r="K155" s="3">
        <f t="shared" ca="1" si="22"/>
        <v>-8.6364475653923023E-2</v>
      </c>
      <c r="L155" s="3"/>
    </row>
    <row r="156" spans="1:12" x14ac:dyDescent="0.3">
      <c r="A156">
        <v>154</v>
      </c>
      <c r="B156" s="2">
        <f t="shared" si="16"/>
        <v>1772.1518987341772</v>
      </c>
      <c r="C156" s="2">
        <f t="shared" si="17"/>
        <v>3.1637635092090863E-3</v>
      </c>
      <c r="D156" s="2">
        <f t="shared" si="18"/>
        <v>42.92925089508077</v>
      </c>
      <c r="E156" s="3">
        <f t="shared" si="23"/>
        <v>109.27265161114539</v>
      </c>
      <c r="F156" cm="1">
        <f t="array" aca="1" ref="F156" ca="1">INDEX($O$2:$O$34,INT(A156/$Z$1)+1)</f>
        <v>113.54366028806263</v>
      </c>
      <c r="G156" cm="1">
        <f t="array" aca="1" ref="G156" ca="1">INDEX($O$2:$O$34,INT(A156/$Z$1)+2)</f>
        <v>108.38134904311713</v>
      </c>
      <c r="H156">
        <f t="shared" ca="1" si="19"/>
        <v>-0.16132222640454685</v>
      </c>
      <c r="I156">
        <f t="shared" ca="1" si="20"/>
        <v>-4.1943778865182182</v>
      </c>
      <c r="J156" s="3">
        <f t="shared" ca="1" si="21"/>
        <v>109.3492824015444</v>
      </c>
      <c r="K156" s="3">
        <f t="shared" ca="1" si="22"/>
        <v>-7.663079039900822E-2</v>
      </c>
      <c r="L156" s="3"/>
    </row>
    <row r="157" spans="1:12" x14ac:dyDescent="0.3">
      <c r="A157">
        <v>155</v>
      </c>
      <c r="B157" s="2">
        <f t="shared" si="16"/>
        <v>1785.7142857142858</v>
      </c>
      <c r="C157" s="2">
        <f t="shared" si="17"/>
        <v>3.1646017442992138E-3</v>
      </c>
      <c r="D157" s="2">
        <f t="shared" si="18"/>
        <v>42.845528284537863</v>
      </c>
      <c r="E157" s="3">
        <f t="shared" si="23"/>
        <v>109.12195091216816</v>
      </c>
      <c r="F157" cm="1">
        <f t="array" aca="1" ref="F157" ca="1">INDEX($O$2:$O$34,INT(A157/$Z$1)+1)</f>
        <v>113.54366028806263</v>
      </c>
      <c r="G157" cm="1">
        <f t="array" aca="1" ref="G157" ca="1">INDEX($O$2:$O$34,INT(A157/$Z$1)+2)</f>
        <v>108.38134904311713</v>
      </c>
      <c r="H157">
        <f t="shared" ca="1" si="19"/>
        <v>-0.16132222640454685</v>
      </c>
      <c r="I157">
        <f t="shared" ca="1" si="20"/>
        <v>-4.355700112922765</v>
      </c>
      <c r="J157" s="3">
        <f t="shared" ca="1" si="21"/>
        <v>109.18796017513986</v>
      </c>
      <c r="K157" s="3">
        <f t="shared" ca="1" si="22"/>
        <v>-6.6009262971704175E-2</v>
      </c>
      <c r="L157" s="3"/>
    </row>
    <row r="158" spans="1:12" x14ac:dyDescent="0.3">
      <c r="A158">
        <v>156</v>
      </c>
      <c r="B158" s="2">
        <f t="shared" si="16"/>
        <v>1799.3079584775087</v>
      </c>
      <c r="C158" s="2">
        <f t="shared" si="17"/>
        <v>3.165435548826923E-3</v>
      </c>
      <c r="D158" s="2">
        <f t="shared" si="18"/>
        <v>42.762292186959712</v>
      </c>
      <c r="E158" s="3">
        <f t="shared" si="23"/>
        <v>108.97212593652748</v>
      </c>
      <c r="F158" cm="1">
        <f t="array" aca="1" ref="F158" ca="1">INDEX($O$2:$O$34,INT(A158/$Z$1)+1)</f>
        <v>113.54366028806263</v>
      </c>
      <c r="G158" cm="1">
        <f t="array" aca="1" ref="G158" ca="1">INDEX($O$2:$O$34,INT(A158/$Z$1)+2)</f>
        <v>108.38134904311713</v>
      </c>
      <c r="H158">
        <f t="shared" ca="1" si="19"/>
        <v>-0.16132222640454685</v>
      </c>
      <c r="I158">
        <f t="shared" ca="1" si="20"/>
        <v>-4.5170223393273119</v>
      </c>
      <c r="J158" s="3">
        <f t="shared" ca="1" si="21"/>
        <v>109.02663794873531</v>
      </c>
      <c r="K158" s="3">
        <f t="shared" ca="1" si="22"/>
        <v>-5.4512012207837302E-2</v>
      </c>
      <c r="L158" s="3"/>
    </row>
    <row r="159" spans="1:12" x14ac:dyDescent="0.3">
      <c r="A159">
        <v>157</v>
      </c>
      <c r="B159" s="2">
        <f t="shared" si="16"/>
        <v>1812.933025404157</v>
      </c>
      <c r="C159" s="2">
        <f t="shared" si="17"/>
        <v>3.1662649816151852E-3</v>
      </c>
      <c r="D159" s="2">
        <f t="shared" si="18"/>
        <v>42.679536001082511</v>
      </c>
      <c r="E159" s="3">
        <f t="shared" si="23"/>
        <v>108.82316480194852</v>
      </c>
      <c r="F159" cm="1">
        <f t="array" aca="1" ref="F159" ca="1">INDEX($O$2:$O$34,INT(A159/$Z$1)+1)</f>
        <v>113.54366028806263</v>
      </c>
      <c r="G159" cm="1">
        <f t="array" aca="1" ref="G159" ca="1">INDEX($O$2:$O$34,INT(A159/$Z$1)+2)</f>
        <v>108.38134904311713</v>
      </c>
      <c r="H159">
        <f t="shared" ca="1" si="19"/>
        <v>-0.16132222640454685</v>
      </c>
      <c r="I159">
        <f t="shared" ca="1" si="20"/>
        <v>-4.6783445657318588</v>
      </c>
      <c r="J159" s="3">
        <f t="shared" ca="1" si="21"/>
        <v>108.86531572233076</v>
      </c>
      <c r="K159" s="3">
        <f t="shared" ca="1" si="22"/>
        <v>-4.2150920382240997E-2</v>
      </c>
      <c r="L159" s="3"/>
    </row>
    <row r="160" spans="1:12" x14ac:dyDescent="0.3">
      <c r="A160">
        <v>158</v>
      </c>
      <c r="B160" s="2">
        <f t="shared" si="16"/>
        <v>1826.5895953757226</v>
      </c>
      <c r="C160" s="2">
        <f t="shared" si="17"/>
        <v>3.1670901003741023E-3</v>
      </c>
      <c r="D160" s="2">
        <f t="shared" si="18"/>
        <v>42.597253253665997</v>
      </c>
      <c r="E160" s="3">
        <f t="shared" si="23"/>
        <v>108.67505585659879</v>
      </c>
      <c r="F160" cm="1">
        <f t="array" aca="1" ref="F160" ca="1">INDEX($O$2:$O$34,INT(A160/$Z$1)+1)</f>
        <v>113.54366028806263</v>
      </c>
      <c r="G160" cm="1">
        <f t="array" aca="1" ref="G160" ca="1">INDEX($O$2:$O$34,INT(A160/$Z$1)+2)</f>
        <v>108.38134904311713</v>
      </c>
      <c r="H160">
        <f t="shared" ca="1" si="19"/>
        <v>-0.16132222640454685</v>
      </c>
      <c r="I160">
        <f t="shared" ca="1" si="20"/>
        <v>-4.8396667921364056</v>
      </c>
      <c r="J160" s="3">
        <f t="shared" ca="1" si="21"/>
        <v>108.70399349592623</v>
      </c>
      <c r="K160" s="3">
        <f t="shared" ca="1" si="22"/>
        <v>-2.8937639327438092E-2</v>
      </c>
      <c r="L160" s="3"/>
    </row>
    <row r="161" spans="1:12" x14ac:dyDescent="0.3">
      <c r="A161">
        <v>159</v>
      </c>
      <c r="B161" s="2">
        <f t="shared" si="16"/>
        <v>1840.2777777777778</v>
      </c>
      <c r="C161" s="2">
        <f t="shared" si="17"/>
        <v>3.1679109617290262E-3</v>
      </c>
      <c r="D161" s="2">
        <f t="shared" si="18"/>
        <v>42.515437596202617</v>
      </c>
      <c r="E161" s="3">
        <f t="shared" si="23"/>
        <v>108.52778767316471</v>
      </c>
      <c r="F161" cm="1">
        <f t="array" aca="1" ref="F161" ca="1">INDEX($O$2:$O$34,INT(A161/$Z$1)+1)</f>
        <v>113.54366028806263</v>
      </c>
      <c r="G161" cm="1">
        <f t="array" aca="1" ref="G161" ca="1">INDEX($O$2:$O$34,INT(A161/$Z$1)+2)</f>
        <v>108.38134904311713</v>
      </c>
      <c r="H161">
        <f t="shared" ca="1" si="19"/>
        <v>-0.16132222640454685</v>
      </c>
      <c r="I161">
        <f t="shared" ca="1" si="20"/>
        <v>-5.0009890185409525</v>
      </c>
      <c r="J161" s="3">
        <f t="shared" ca="1" si="21"/>
        <v>108.54267126952168</v>
      </c>
      <c r="K161" s="3">
        <f t="shared" ca="1" si="22"/>
        <v>-1.4883596356966677E-2</v>
      </c>
      <c r="L161" s="3"/>
    </row>
    <row r="162" spans="1:12" x14ac:dyDescent="0.3">
      <c r="A162">
        <v>160</v>
      </c>
      <c r="B162" s="2">
        <f t="shared" si="16"/>
        <v>1853.9976825028969</v>
      </c>
      <c r="C162" s="2">
        <f t="shared" si="17"/>
        <v>3.1687276212477998E-3</v>
      </c>
      <c r="D162" s="2">
        <f t="shared" si="18"/>
        <v>42.434082801731734</v>
      </c>
      <c r="E162" s="3">
        <f t="shared" si="23"/>
        <v>108.38134904311713</v>
      </c>
      <c r="F162" cm="1">
        <f t="array" aca="1" ref="F162" ca="1">INDEX($O$2:$O$34,INT(A162/$Z$1)+1)</f>
        <v>108.38134904311713</v>
      </c>
      <c r="G162" cm="1">
        <f t="array" aca="1" ref="G162" ca="1">INDEX($O$2:$O$34,INT(A162/$Z$1)+2)</f>
        <v>104.07589976146878</v>
      </c>
      <c r="H162">
        <f t="shared" ca="1" si="19"/>
        <v>-0.13454529005151095</v>
      </c>
      <c r="I162">
        <f t="shared" ca="1" si="20"/>
        <v>0</v>
      </c>
      <c r="J162" s="3">
        <f t="shared" ca="1" si="21"/>
        <v>108.38134904311713</v>
      </c>
      <c r="K162" s="3">
        <f t="shared" ca="1" si="22"/>
        <v>0</v>
      </c>
      <c r="L162" s="3"/>
    </row>
    <row r="163" spans="1:12" x14ac:dyDescent="0.3">
      <c r="A163">
        <v>161</v>
      </c>
      <c r="B163" s="2">
        <f t="shared" si="16"/>
        <v>1867.7494199535963</v>
      </c>
      <c r="C163" s="2">
        <f t="shared" si="17"/>
        <v>3.1695401334671473E-3</v>
      </c>
      <c r="D163" s="2">
        <f t="shared" si="18"/>
        <v>42.353182761754169</v>
      </c>
      <c r="E163" s="3">
        <f t="shared" si="23"/>
        <v>108.2357289711575</v>
      </c>
      <c r="F163" cm="1">
        <f t="array" aca="1" ref="F163" ca="1">INDEX($O$2:$O$34,INT(A163/$Z$1)+1)</f>
        <v>108.38134904311713</v>
      </c>
      <c r="G163" cm="1">
        <f t="array" aca="1" ref="G163" ca="1">INDEX($O$2:$O$34,INT(A163/$Z$1)+2)</f>
        <v>104.07589976146878</v>
      </c>
      <c r="H163">
        <f t="shared" ca="1" si="19"/>
        <v>-0.13454529005151095</v>
      </c>
      <c r="I163">
        <f t="shared" ca="1" si="20"/>
        <v>-0.13454529005151095</v>
      </c>
      <c r="J163" s="3">
        <f t="shared" ca="1" si="21"/>
        <v>108.24680375306562</v>
      </c>
      <c r="K163" s="3">
        <f t="shared" ca="1" si="22"/>
        <v>-1.1074781908121167E-2</v>
      </c>
      <c r="L163" s="3"/>
    </row>
    <row r="164" spans="1:12" x14ac:dyDescent="0.3">
      <c r="A164">
        <v>162</v>
      </c>
      <c r="B164" s="2">
        <f t="shared" si="16"/>
        <v>1881.5331010452962</v>
      </c>
      <c r="C164" s="2">
        <f t="shared" si="17"/>
        <v>3.1703485519182458E-3</v>
      </c>
      <c r="D164" s="2">
        <f t="shared" si="18"/>
        <v>42.272731483243945</v>
      </c>
      <c r="E164" s="3">
        <f t="shared" si="23"/>
        <v>108.0909166698391</v>
      </c>
      <c r="F164" cm="1">
        <f t="array" aca="1" ref="F164" ca="1">INDEX($O$2:$O$34,INT(A164/$Z$1)+1)</f>
        <v>108.38134904311713</v>
      </c>
      <c r="G164" cm="1">
        <f t="array" aca="1" ref="G164" ca="1">INDEX($O$2:$O$34,INT(A164/$Z$1)+2)</f>
        <v>104.07589976146878</v>
      </c>
      <c r="H164">
        <f t="shared" ca="1" si="19"/>
        <v>-0.13454529005151095</v>
      </c>
      <c r="I164">
        <f t="shared" ca="1" si="20"/>
        <v>-0.26909058010302189</v>
      </c>
      <c r="J164" s="3">
        <f t="shared" ca="1" si="21"/>
        <v>108.1122584630141</v>
      </c>
      <c r="K164" s="3">
        <f t="shared" ca="1" si="22"/>
        <v>-2.1341793174997292E-2</v>
      </c>
      <c r="L164" s="3"/>
    </row>
    <row r="165" spans="1:12" x14ac:dyDescent="0.3">
      <c r="A165">
        <v>163</v>
      </c>
      <c r="B165" s="2">
        <f t="shared" si="16"/>
        <v>1895.3488372093022</v>
      </c>
      <c r="C165" s="2">
        <f t="shared" si="17"/>
        <v>3.1711529291515153E-3</v>
      </c>
      <c r="D165" s="2">
        <f t="shared" si="18"/>
        <v>42.192723085752789</v>
      </c>
      <c r="E165" s="3">
        <f t="shared" si="23"/>
        <v>107.94690155435502</v>
      </c>
      <c r="F165" cm="1">
        <f t="array" aca="1" ref="F165" ca="1">INDEX($O$2:$O$34,INT(A165/$Z$1)+1)</f>
        <v>108.38134904311713</v>
      </c>
      <c r="G165" cm="1">
        <f t="array" aca="1" ref="G165" ca="1">INDEX($O$2:$O$34,INT(A165/$Z$1)+2)</f>
        <v>104.07589976146878</v>
      </c>
      <c r="H165">
        <f t="shared" ca="1" si="19"/>
        <v>-0.13454529005151095</v>
      </c>
      <c r="I165">
        <f t="shared" ca="1" si="20"/>
        <v>-0.40363587015453284</v>
      </c>
      <c r="J165" s="3">
        <f t="shared" ca="1" si="21"/>
        <v>107.97771317296259</v>
      </c>
      <c r="K165" s="3">
        <f t="shared" ca="1" si="22"/>
        <v>-3.08116186075722E-2</v>
      </c>
      <c r="L165" s="3"/>
    </row>
    <row r="166" spans="1:12" x14ac:dyDescent="0.3">
      <c r="A166">
        <v>164</v>
      </c>
      <c r="B166" s="2">
        <f t="shared" si="16"/>
        <v>1909.196740395809</v>
      </c>
      <c r="C166" s="2">
        <f t="shared" si="17"/>
        <v>3.1719533167606454E-3</v>
      </c>
      <c r="D166" s="2">
        <f t="shared" si="18"/>
        <v>42.113151798605031</v>
      </c>
      <c r="E166" s="3">
        <f t="shared" si="23"/>
        <v>107.80367323748905</v>
      </c>
      <c r="F166" cm="1">
        <f t="array" aca="1" ref="F166" ca="1">INDEX($O$2:$O$34,INT(A166/$Z$1)+1)</f>
        <v>108.38134904311713</v>
      </c>
      <c r="G166" cm="1">
        <f t="array" aca="1" ref="G166" ca="1">INDEX($O$2:$O$34,INT(A166/$Z$1)+2)</f>
        <v>104.07589976146878</v>
      </c>
      <c r="H166">
        <f t="shared" ca="1" si="19"/>
        <v>-0.13454529005151095</v>
      </c>
      <c r="I166">
        <f t="shared" ca="1" si="20"/>
        <v>-0.53818116020604378</v>
      </c>
      <c r="J166" s="3">
        <f t="shared" ca="1" si="21"/>
        <v>107.84316788291108</v>
      </c>
      <c r="K166" s="3">
        <f t="shared" ca="1" si="22"/>
        <v>-3.9494645422024632E-2</v>
      </c>
      <c r="L166" s="3"/>
    </row>
    <row r="167" spans="1:12" x14ac:dyDescent="0.3">
      <c r="A167">
        <v>165</v>
      </c>
      <c r="B167" s="2">
        <f t="shared" si="16"/>
        <v>1923.0769230769231</v>
      </c>
      <c r="C167" s="2">
        <f t="shared" si="17"/>
        <v>3.1727497654058974E-3</v>
      </c>
      <c r="D167" s="2">
        <f t="shared" si="18"/>
        <v>42.034011958178382</v>
      </c>
      <c r="E167" s="3">
        <f t="shared" si="23"/>
        <v>107.66122152472109</v>
      </c>
      <c r="F167" cm="1">
        <f t="array" aca="1" ref="F167" ca="1">INDEX($O$2:$O$34,INT(A167/$Z$1)+1)</f>
        <v>108.38134904311713</v>
      </c>
      <c r="G167" cm="1">
        <f t="array" aca="1" ref="G167" ca="1">INDEX($O$2:$O$34,INT(A167/$Z$1)+2)</f>
        <v>104.07589976146878</v>
      </c>
      <c r="H167">
        <f t="shared" ca="1" si="19"/>
        <v>-0.13454529005151095</v>
      </c>
      <c r="I167">
        <f t="shared" ca="1" si="20"/>
        <v>-0.67272645025755473</v>
      </c>
      <c r="J167" s="3">
        <f t="shared" ca="1" si="21"/>
        <v>107.70862259285957</v>
      </c>
      <c r="K167" s="3">
        <f t="shared" ca="1" si="22"/>
        <v>-4.7401068138483993E-2</v>
      </c>
      <c r="L167" s="3"/>
    </row>
    <row r="168" spans="1:12" x14ac:dyDescent="0.3">
      <c r="A168">
        <v>166</v>
      </c>
      <c r="B168" s="2">
        <f t="shared" si="16"/>
        <v>1936.9894982497083</v>
      </c>
      <c r="C168" s="2">
        <f t="shared" si="17"/>
        <v>3.1735423248366967E-3</v>
      </c>
      <c r="D168" s="2">
        <f t="shared" si="18"/>
        <v>41.95529800526856</v>
      </c>
      <c r="E168" s="3">
        <f t="shared" si="23"/>
        <v>107.51953640948341</v>
      </c>
      <c r="F168" cm="1">
        <f t="array" aca="1" ref="F168" ca="1">INDEX($O$2:$O$34,INT(A168/$Z$1)+1)</f>
        <v>108.38134904311713</v>
      </c>
      <c r="G168" cm="1">
        <f t="array" aca="1" ref="G168" ca="1">INDEX($O$2:$O$34,INT(A168/$Z$1)+2)</f>
        <v>104.07589976146878</v>
      </c>
      <c r="H168">
        <f t="shared" ca="1" si="19"/>
        <v>-0.13454529005151095</v>
      </c>
      <c r="I168">
        <f t="shared" ca="1" si="20"/>
        <v>-0.80727174030906568</v>
      </c>
      <c r="J168" s="3">
        <f t="shared" ca="1" si="21"/>
        <v>107.57407730280806</v>
      </c>
      <c r="K168" s="3">
        <f t="shared" ca="1" si="22"/>
        <v>-5.4540893324656281E-2</v>
      </c>
      <c r="L168" s="3"/>
    </row>
    <row r="169" spans="1:12" x14ac:dyDescent="0.3">
      <c r="A169">
        <v>167</v>
      </c>
      <c r="B169" s="2">
        <f t="shared" si="16"/>
        <v>1950.9345794392523</v>
      </c>
      <c r="C169" s="2">
        <f t="shared" si="17"/>
        <v>3.1743310439135506E-3</v>
      </c>
      <c r="D169" s="2">
        <f t="shared" si="18"/>
        <v>41.877004482533721</v>
      </c>
      <c r="E169" s="3">
        <f t="shared" si="23"/>
        <v>107.37860806856069</v>
      </c>
      <c r="F169" cm="1">
        <f t="array" aca="1" ref="F169" ca="1">INDEX($O$2:$O$34,INT(A169/$Z$1)+1)</f>
        <v>108.38134904311713</v>
      </c>
      <c r="G169" cm="1">
        <f t="array" aca="1" ref="G169" ca="1">INDEX($O$2:$O$34,INT(A169/$Z$1)+2)</f>
        <v>104.07589976146878</v>
      </c>
      <c r="H169">
        <f t="shared" ca="1" si="19"/>
        <v>-0.13454529005151095</v>
      </c>
      <c r="I169">
        <f t="shared" ca="1" si="20"/>
        <v>-0.94181703036057662</v>
      </c>
      <c r="J169" s="3">
        <f t="shared" ca="1" si="21"/>
        <v>107.43953201275654</v>
      </c>
      <c r="K169" s="3">
        <f t="shared" ca="1" si="22"/>
        <v>-6.0923944195849344E-2</v>
      </c>
      <c r="L169" s="3"/>
    </row>
    <row r="170" spans="1:12" x14ac:dyDescent="0.3">
      <c r="A170">
        <v>168</v>
      </c>
      <c r="B170" s="2">
        <f t="shared" si="16"/>
        <v>1964.9122807017543</v>
      </c>
      <c r="C170" s="2">
        <f t="shared" si="17"/>
        <v>3.1751159706293127E-3</v>
      </c>
      <c r="D170" s="2">
        <f t="shared" si="18"/>
        <v>41.799126032016602</v>
      </c>
      <c r="E170" s="3">
        <f t="shared" si="23"/>
        <v>107.23842685762989</v>
      </c>
      <c r="F170" cm="1">
        <f t="array" aca="1" ref="F170" ca="1">INDEX($O$2:$O$34,INT(A170/$Z$1)+1)</f>
        <v>108.38134904311713</v>
      </c>
      <c r="G170" cm="1">
        <f t="array" aca="1" ref="G170" ca="1">INDEX($O$2:$O$34,INT(A170/$Z$1)+2)</f>
        <v>104.07589976146878</v>
      </c>
      <c r="H170">
        <f t="shared" ca="1" si="19"/>
        <v>-0.13454529005151095</v>
      </c>
      <c r="I170">
        <f t="shared" ca="1" si="20"/>
        <v>-1.0763623204120876</v>
      </c>
      <c r="J170" s="3">
        <f t="shared" ca="1" si="21"/>
        <v>107.30498672270504</v>
      </c>
      <c r="K170" s="3">
        <f t="shared" ca="1" si="22"/>
        <v>-6.6559865075149105E-2</v>
      </c>
      <c r="L170" s="3"/>
    </row>
    <row r="171" spans="1:12" x14ac:dyDescent="0.3">
      <c r="A171">
        <v>169</v>
      </c>
      <c r="B171" s="2">
        <f t="shared" si="16"/>
        <v>1978.9227166276346</v>
      </c>
      <c r="C171" s="2">
        <f t="shared" si="17"/>
        <v>3.1758971521298135E-3</v>
      </c>
      <c r="D171" s="2">
        <f t="shared" si="18"/>
        <v>41.721657392740894</v>
      </c>
      <c r="E171" s="3">
        <f t="shared" si="23"/>
        <v>107.0989833069336</v>
      </c>
      <c r="F171" cm="1">
        <f t="array" aca="1" ref="F171" ca="1">INDEX($O$2:$O$34,INT(A171/$Z$1)+1)</f>
        <v>108.38134904311713</v>
      </c>
      <c r="G171" cm="1">
        <f t="array" aca="1" ref="G171" ca="1">INDEX($O$2:$O$34,INT(A171/$Z$1)+2)</f>
        <v>104.07589976146878</v>
      </c>
      <c r="H171">
        <f t="shared" ca="1" si="19"/>
        <v>-0.13454529005151095</v>
      </c>
      <c r="I171">
        <f t="shared" ca="1" si="20"/>
        <v>-1.2109076104635985</v>
      </c>
      <c r="J171" s="3">
        <f t="shared" ca="1" si="21"/>
        <v>107.17044143265353</v>
      </c>
      <c r="K171" s="3">
        <f t="shared" ca="1" si="22"/>
        <v>-7.1458125719928489E-2</v>
      </c>
      <c r="L171" s="3"/>
    </row>
    <row r="172" spans="1:12" x14ac:dyDescent="0.3">
      <c r="A172">
        <v>170</v>
      </c>
      <c r="B172" s="2">
        <f t="shared" si="16"/>
        <v>1992.9660023446659</v>
      </c>
      <c r="C172" s="2">
        <f t="shared" si="17"/>
        <v>3.1766746347338848E-3</v>
      </c>
      <c r="D172" s="2">
        <f t="shared" si="18"/>
        <v>41.644593398379868</v>
      </c>
      <c r="E172" s="3">
        <f t="shared" si="23"/>
        <v>106.96026811708376</v>
      </c>
      <c r="F172" cm="1">
        <f t="array" aca="1" ref="F172" ca="1">INDEX($O$2:$O$34,INT(A172/$Z$1)+1)</f>
        <v>108.38134904311713</v>
      </c>
      <c r="G172" cm="1">
        <f t="array" aca="1" ref="G172" ca="1">INDEX($O$2:$O$34,INT(A172/$Z$1)+2)</f>
        <v>104.07589976146878</v>
      </c>
      <c r="H172">
        <f t="shared" ca="1" si="19"/>
        <v>-0.13454529005151095</v>
      </c>
      <c r="I172">
        <f t="shared" ca="1" si="20"/>
        <v>-1.3454529005151095</v>
      </c>
      <c r="J172" s="3">
        <f t="shared" ca="1" si="21"/>
        <v>107.03589614260201</v>
      </c>
      <c r="K172" s="3">
        <f t="shared" ca="1" si="22"/>
        <v>-7.5628025518255981E-2</v>
      </c>
      <c r="L172" s="3"/>
    </row>
    <row r="173" spans="1:12" x14ac:dyDescent="0.3">
      <c r="A173">
        <v>171</v>
      </c>
      <c r="B173" s="2">
        <f t="shared" si="16"/>
        <v>2007.0422535211267</v>
      </c>
      <c r="C173" s="2">
        <f t="shared" si="17"/>
        <v>3.177448463952797E-3</v>
      </c>
      <c r="D173" s="2">
        <f t="shared" si="18"/>
        <v>41.567928974993947</v>
      </c>
      <c r="E173" s="3">
        <f t="shared" si="23"/>
        <v>106.82227215498911</v>
      </c>
      <c r="F173" cm="1">
        <f t="array" aca="1" ref="F173" ca="1">INDEX($O$2:$O$34,INT(A173/$Z$1)+1)</f>
        <v>108.38134904311713</v>
      </c>
      <c r="G173" cm="1">
        <f t="array" aca="1" ref="G173" ca="1">INDEX($O$2:$O$34,INT(A173/$Z$1)+2)</f>
        <v>104.07589976146878</v>
      </c>
      <c r="H173">
        <f t="shared" ca="1" si="19"/>
        <v>-0.13454529005151095</v>
      </c>
      <c r="I173">
        <f t="shared" ca="1" si="20"/>
        <v>-1.4799981905666204</v>
      </c>
      <c r="J173" s="3">
        <f t="shared" ca="1" si="21"/>
        <v>106.90135085255051</v>
      </c>
      <c r="K173" s="3">
        <f t="shared" ca="1" si="22"/>
        <v>-7.9078697561399736E-2</v>
      </c>
      <c r="L173" s="3"/>
    </row>
    <row r="174" spans="1:12" x14ac:dyDescent="0.3">
      <c r="A174">
        <v>172</v>
      </c>
      <c r="B174" s="2">
        <f t="shared" si="16"/>
        <v>2021.1515863689776</v>
      </c>
      <c r="C174" s="2">
        <f t="shared" si="17"/>
        <v>3.1782186845091282E-3</v>
      </c>
      <c r="D174" s="2">
        <f t="shared" si="18"/>
        <v>41.491659138835757</v>
      </c>
      <c r="E174" s="3">
        <f t="shared" si="23"/>
        <v>106.68498644990436</v>
      </c>
      <c r="F174" cm="1">
        <f t="array" aca="1" ref="F174" ca="1">INDEX($O$2:$O$34,INT(A174/$Z$1)+1)</f>
        <v>108.38134904311713</v>
      </c>
      <c r="G174" cm="1">
        <f t="array" aca="1" ref="G174" ca="1">INDEX($O$2:$O$34,INT(A174/$Z$1)+2)</f>
        <v>104.07589976146878</v>
      </c>
      <c r="H174">
        <f t="shared" ca="1" si="19"/>
        <v>-0.13454529005151095</v>
      </c>
      <c r="I174">
        <f t="shared" ca="1" si="20"/>
        <v>-1.6145434806181314</v>
      </c>
      <c r="J174" s="3">
        <f t="shared" ca="1" si="21"/>
        <v>106.766805562499</v>
      </c>
      <c r="K174" s="3">
        <f t="shared" ca="1" si="22"/>
        <v>-8.1819112594644139E-2</v>
      </c>
      <c r="L174" s="3"/>
    </row>
    <row r="175" spans="1:12" x14ac:dyDescent="0.3">
      <c r="A175">
        <v>173</v>
      </c>
      <c r="B175" s="2">
        <f t="shared" si="16"/>
        <v>2035.2941176470588</v>
      </c>
      <c r="C175" s="2">
        <f t="shared" si="17"/>
        <v>3.1789853403550879E-3</v>
      </c>
      <c r="D175" s="2">
        <f t="shared" si="18"/>
        <v>41.41577899421884</v>
      </c>
      <c r="E175" s="3">
        <f t="shared" si="23"/>
        <v>106.54840218959392</v>
      </c>
      <c r="F175" cm="1">
        <f t="array" aca="1" ref="F175" ca="1">INDEX($O$2:$O$34,INT(A175/$Z$1)+1)</f>
        <v>108.38134904311713</v>
      </c>
      <c r="G175" cm="1">
        <f t="array" aca="1" ref="G175" ca="1">INDEX($O$2:$O$34,INT(A175/$Z$1)+2)</f>
        <v>104.07589976146878</v>
      </c>
      <c r="H175">
        <f t="shared" ca="1" si="19"/>
        <v>-0.13454529005151095</v>
      </c>
      <c r="I175">
        <f t="shared" ca="1" si="20"/>
        <v>-1.7490887706696423</v>
      </c>
      <c r="J175" s="3">
        <f t="shared" ca="1" si="21"/>
        <v>106.63226027244748</v>
      </c>
      <c r="K175" s="3">
        <f t="shared" ca="1" si="22"/>
        <v>-8.3858082853566884E-2</v>
      </c>
      <c r="L175" s="3"/>
    </row>
    <row r="176" spans="1:12" x14ac:dyDescent="0.3">
      <c r="A176">
        <v>174</v>
      </c>
      <c r="B176" s="2">
        <f t="shared" si="16"/>
        <v>2049.4699646643107</v>
      </c>
      <c r="C176" s="2">
        <f t="shared" si="17"/>
        <v>3.1797484746903144E-3</v>
      </c>
      <c r="D176" s="2">
        <f t="shared" si="18"/>
        <v>41.34028373144929</v>
      </c>
      <c r="E176" s="3">
        <f t="shared" si="23"/>
        <v>106.41251071660872</v>
      </c>
      <c r="F176" cm="1">
        <f t="array" aca="1" ref="F176" ca="1">INDEX($O$2:$O$34,INT(A176/$Z$1)+1)</f>
        <v>108.38134904311713</v>
      </c>
      <c r="G176" cm="1">
        <f t="array" aca="1" ref="G176" ca="1">INDEX($O$2:$O$34,INT(A176/$Z$1)+2)</f>
        <v>104.07589976146878</v>
      </c>
      <c r="H176">
        <f t="shared" ca="1" si="19"/>
        <v>-0.13454529005151095</v>
      </c>
      <c r="I176">
        <f t="shared" ca="1" si="20"/>
        <v>-1.8836340607211532</v>
      </c>
      <c r="J176" s="3">
        <f t="shared" ca="1" si="21"/>
        <v>106.49771498239598</v>
      </c>
      <c r="K176" s="3">
        <f t="shared" ca="1" si="22"/>
        <v>-8.5204265787254485E-2</v>
      </c>
      <c r="L176" s="3"/>
    </row>
    <row r="177" spans="1:12" x14ac:dyDescent="0.3">
      <c r="A177">
        <v>175</v>
      </c>
      <c r="B177" s="2">
        <f t="shared" si="16"/>
        <v>2063.6792452830186</v>
      </c>
      <c r="C177" s="2">
        <f t="shared" si="17"/>
        <v>3.1805081299791584E-3</v>
      </c>
      <c r="D177" s="2">
        <f t="shared" si="18"/>
        <v>41.265168624817534</v>
      </c>
      <c r="E177" s="3">
        <f t="shared" si="23"/>
        <v>106.27730352467157</v>
      </c>
      <c r="F177" cm="1">
        <f t="array" aca="1" ref="F177" ca="1">INDEX($O$2:$O$34,INT(A177/$Z$1)+1)</f>
        <v>108.38134904311713</v>
      </c>
      <c r="G177" cm="1">
        <f t="array" aca="1" ref="G177" ca="1">INDEX($O$2:$O$34,INT(A177/$Z$1)+2)</f>
        <v>104.07589976146878</v>
      </c>
      <c r="H177">
        <f t="shared" ca="1" si="19"/>
        <v>-0.13454529005151095</v>
      </c>
      <c r="I177">
        <f t="shared" ca="1" si="20"/>
        <v>-2.0181793507726642</v>
      </c>
      <c r="J177" s="3">
        <f t="shared" ca="1" si="21"/>
        <v>106.36316969234446</v>
      </c>
      <c r="K177" s="3">
        <f t="shared" ca="1" si="22"/>
        <v>-8.5866167672890015E-2</v>
      </c>
      <c r="L177" s="3"/>
    </row>
    <row r="178" spans="1:12" x14ac:dyDescent="0.3">
      <c r="A178">
        <v>176</v>
      </c>
      <c r="B178" s="2">
        <f t="shared" si="16"/>
        <v>2077.9220779220777</v>
      </c>
      <c r="C178" s="2">
        <f t="shared" si="17"/>
        <v>3.1812643479674778E-3</v>
      </c>
      <c r="D178" s="2">
        <f t="shared" si="18"/>
        <v>41.190429030647522</v>
      </c>
      <c r="E178" s="3">
        <f t="shared" si="23"/>
        <v>106.14277225516554</v>
      </c>
      <c r="F178" cm="1">
        <f t="array" aca="1" ref="F178" ca="1">INDEX($O$2:$O$34,INT(A178/$Z$1)+1)</f>
        <v>108.38134904311713</v>
      </c>
      <c r="G178" cm="1">
        <f t="array" aca="1" ref="G178" ca="1">INDEX($O$2:$O$34,INT(A178/$Z$1)+2)</f>
        <v>104.07589976146878</v>
      </c>
      <c r="H178">
        <f t="shared" ca="1" si="19"/>
        <v>-0.13454529005151095</v>
      </c>
      <c r="I178">
        <f t="shared" ca="1" si="20"/>
        <v>-2.1527246408241751</v>
      </c>
      <c r="J178" s="3">
        <f t="shared" ca="1" si="21"/>
        <v>106.22862440229295</v>
      </c>
      <c r="K178" s="3">
        <f t="shared" ca="1" si="22"/>
        <v>-8.5852147127411627E-2</v>
      </c>
      <c r="L178" s="3"/>
    </row>
    <row r="179" spans="1:12" x14ac:dyDescent="0.3">
      <c r="A179">
        <v>177</v>
      </c>
      <c r="B179" s="2">
        <f t="shared" si="16"/>
        <v>2092.1985815602839</v>
      </c>
      <c r="C179" s="2">
        <f t="shared" si="17"/>
        <v>3.1820171696989564E-3</v>
      </c>
      <c r="D179" s="2">
        <f t="shared" si="18"/>
        <v>41.116060385402591</v>
      </c>
      <c r="E179" s="3">
        <f t="shared" si="23"/>
        <v>106.00890869372466</v>
      </c>
      <c r="F179" cm="1">
        <f t="array" aca="1" ref="F179" ca="1">INDEX($O$2:$O$34,INT(A179/$Z$1)+1)</f>
        <v>108.38134904311713</v>
      </c>
      <c r="G179" cm="1">
        <f t="array" aca="1" ref="G179" ca="1">INDEX($O$2:$O$34,INT(A179/$Z$1)+2)</f>
        <v>104.07589976146878</v>
      </c>
      <c r="H179">
        <f t="shared" ca="1" si="19"/>
        <v>-0.13454529005151095</v>
      </c>
      <c r="I179">
        <f t="shared" ca="1" si="20"/>
        <v>-2.2872699308756861</v>
      </c>
      <c r="J179" s="3">
        <f t="shared" ca="1" si="21"/>
        <v>106.09407911224145</v>
      </c>
      <c r="K179" s="3">
        <f t="shared" ca="1" si="22"/>
        <v>-8.5170418516781865E-2</v>
      </c>
      <c r="L179" s="3"/>
    </row>
    <row r="180" spans="1:12" x14ac:dyDescent="0.3">
      <c r="A180">
        <v>178</v>
      </c>
      <c r="B180" s="2">
        <f t="shared" si="16"/>
        <v>2106.5088757396452</v>
      </c>
      <c r="C180" s="2">
        <f t="shared" si="17"/>
        <v>3.1827666355309613E-3</v>
      </c>
      <c r="D180" s="2">
        <f t="shared" si="18"/>
        <v>41.042058203845102</v>
      </c>
      <c r="E180" s="3">
        <f t="shared" si="23"/>
        <v>105.87570476692119</v>
      </c>
      <c r="F180" cm="1">
        <f t="array" aca="1" ref="F180" ca="1">INDEX($O$2:$O$34,INT(A180/$Z$1)+1)</f>
        <v>108.38134904311713</v>
      </c>
      <c r="G180" cm="1">
        <f t="array" aca="1" ref="G180" ca="1">INDEX($O$2:$O$34,INT(A180/$Z$1)+2)</f>
        <v>104.07589976146878</v>
      </c>
      <c r="H180">
        <f t="shared" ca="1" si="19"/>
        <v>-0.13454529005151095</v>
      </c>
      <c r="I180">
        <f t="shared" ca="1" si="20"/>
        <v>-2.421815220927197</v>
      </c>
      <c r="J180" s="3">
        <f t="shared" ca="1" si="21"/>
        <v>105.95953382218993</v>
      </c>
      <c r="K180" s="3">
        <f t="shared" ca="1" si="22"/>
        <v>-8.3829055268736852E-2</v>
      </c>
      <c r="L180" s="3"/>
    </row>
    <row r="181" spans="1:12" x14ac:dyDescent="0.3">
      <c r="A181">
        <v>179</v>
      </c>
      <c r="B181" s="2">
        <f t="shared" si="16"/>
        <v>2120.8530805687205</v>
      </c>
      <c r="C181" s="2">
        <f t="shared" si="17"/>
        <v>3.1835127851499575E-3</v>
      </c>
      <c r="D181" s="2">
        <f t="shared" si="18"/>
        <v>40.968418077248486</v>
      </c>
      <c r="E181" s="3">
        <f t="shared" si="23"/>
        <v>105.74315253904727</v>
      </c>
      <c r="F181" cm="1">
        <f t="array" aca="1" ref="F181" ca="1">INDEX($O$2:$O$34,INT(A181/$Z$1)+1)</f>
        <v>108.38134904311713</v>
      </c>
      <c r="G181" cm="1">
        <f t="array" aca="1" ref="G181" ca="1">INDEX($O$2:$O$34,INT(A181/$Z$1)+2)</f>
        <v>104.07589976146878</v>
      </c>
      <c r="H181">
        <f t="shared" ca="1" si="19"/>
        <v>-0.13454529005151095</v>
      </c>
      <c r="I181">
        <f t="shared" ca="1" si="20"/>
        <v>-2.556360510978708</v>
      </c>
      <c r="J181" s="3">
        <f t="shared" ca="1" si="21"/>
        <v>105.82498853213842</v>
      </c>
      <c r="K181" s="3">
        <f t="shared" ca="1" si="22"/>
        <v>-8.1835993091146975E-2</v>
      </c>
      <c r="L181" s="3"/>
    </row>
    <row r="182" spans="1:12" x14ac:dyDescent="0.3">
      <c r="A182">
        <v>180</v>
      </c>
      <c r="B182" s="2">
        <f t="shared" si="16"/>
        <v>2135.2313167259786</v>
      </c>
      <c r="C182" s="2">
        <f t="shared" si="17"/>
        <v>3.1842556575864957E-3</v>
      </c>
      <c r="D182" s="2">
        <f t="shared" si="18"/>
        <v>40.895135671659432</v>
      </c>
      <c r="E182" s="3">
        <f t="shared" si="23"/>
        <v>105.61124420898697</v>
      </c>
      <c r="F182" cm="1">
        <f t="array" aca="1" ref="F182" ca="1">INDEX($O$2:$O$34,INT(A182/$Z$1)+1)</f>
        <v>108.38134904311713</v>
      </c>
      <c r="G182" cm="1">
        <f t="array" aca="1" ref="G182" ca="1">INDEX($O$2:$O$34,INT(A182/$Z$1)+2)</f>
        <v>104.07589976146878</v>
      </c>
      <c r="H182">
        <f t="shared" ca="1" si="19"/>
        <v>-0.13454529005151095</v>
      </c>
      <c r="I182">
        <f t="shared" ca="1" si="20"/>
        <v>-2.6909058010302189</v>
      </c>
      <c r="J182" s="3">
        <f t="shared" ca="1" si="21"/>
        <v>105.6904432420869</v>
      </c>
      <c r="K182" s="3">
        <f t="shared" ca="1" si="22"/>
        <v>-7.9199033099925487E-2</v>
      </c>
      <c r="L182" s="3"/>
    </row>
    <row r="183" spans="1:12" x14ac:dyDescent="0.3">
      <c r="A183">
        <v>181</v>
      </c>
      <c r="B183" s="2">
        <f t="shared" si="16"/>
        <v>2149.6437054631829</v>
      </c>
      <c r="C183" s="2">
        <f t="shared" si="17"/>
        <v>3.1849952912297798E-3</v>
      </c>
      <c r="D183" s="2">
        <f t="shared" si="18"/>
        <v>40.822206726209458</v>
      </c>
      <c r="E183" s="3">
        <f t="shared" si="23"/>
        <v>105.47997210717702</v>
      </c>
      <c r="F183" cm="1">
        <f t="array" aca="1" ref="F183" ca="1">INDEX($O$2:$O$34,INT(A183/$Z$1)+1)</f>
        <v>108.38134904311713</v>
      </c>
      <c r="G183" cm="1">
        <f t="array" aca="1" ref="G183" ca="1">INDEX($O$2:$O$34,INT(A183/$Z$1)+2)</f>
        <v>104.07589976146878</v>
      </c>
      <c r="H183">
        <f t="shared" ca="1" si="19"/>
        <v>-0.13454529005151095</v>
      </c>
      <c r="I183">
        <f t="shared" ca="1" si="20"/>
        <v>-2.8254510910817299</v>
      </c>
      <c r="J183" s="3">
        <f t="shared" ca="1" si="21"/>
        <v>105.55589795203539</v>
      </c>
      <c r="K183" s="3">
        <f t="shared" ca="1" si="22"/>
        <v>-7.5925844858375058E-2</v>
      </c>
      <c r="L183" s="3"/>
    </row>
    <row r="184" spans="1:12" x14ac:dyDescent="0.3">
      <c r="A184">
        <v>182</v>
      </c>
      <c r="B184" s="2">
        <f t="shared" si="16"/>
        <v>2164.0903686087991</v>
      </c>
      <c r="C184" s="2">
        <f t="shared" si="17"/>
        <v>3.1857317238418374E-3</v>
      </c>
      <c r="D184" s="2">
        <f t="shared" si="18"/>
        <v>40.74962705147334</v>
      </c>
      <c r="E184" s="3">
        <f t="shared" si="23"/>
        <v>105.34932869265201</v>
      </c>
      <c r="F184" cm="1">
        <f t="array" aca="1" ref="F184" ca="1">INDEX($O$2:$O$34,INT(A184/$Z$1)+1)</f>
        <v>108.38134904311713</v>
      </c>
      <c r="G184" cm="1">
        <f t="array" aca="1" ref="G184" ca="1">INDEX($O$2:$O$34,INT(A184/$Z$1)+2)</f>
        <v>104.07589976146878</v>
      </c>
      <c r="H184">
        <f t="shared" ca="1" si="19"/>
        <v>-0.13454529005151095</v>
      </c>
      <c r="I184">
        <f t="shared" ca="1" si="20"/>
        <v>-2.9599963811332408</v>
      </c>
      <c r="J184" s="3">
        <f t="shared" ca="1" si="21"/>
        <v>105.42135266198389</v>
      </c>
      <c r="K184" s="3">
        <f t="shared" ca="1" si="22"/>
        <v>-7.2023969331880267E-2</v>
      </c>
      <c r="L184" s="3"/>
    </row>
    <row r="185" spans="1:12" x14ac:dyDescent="0.3">
      <c r="A185">
        <v>183</v>
      </c>
      <c r="B185" s="2">
        <f t="shared" si="16"/>
        <v>2178.5714285714284</v>
      </c>
      <c r="C185" s="2">
        <f t="shared" si="17"/>
        <v>3.186464992571302E-3</v>
      </c>
      <c r="D185" s="2">
        <f t="shared" si="18"/>
        <v>40.677392527873053</v>
      </c>
      <c r="E185" s="3">
        <f t="shared" si="23"/>
        <v>105.2193065501715</v>
      </c>
      <c r="F185" cm="1">
        <f t="array" aca="1" ref="F185" ca="1">INDEX($O$2:$O$34,INT(A185/$Z$1)+1)</f>
        <v>108.38134904311713</v>
      </c>
      <c r="G185" cm="1">
        <f t="array" aca="1" ref="G185" ca="1">INDEX($O$2:$O$34,INT(A185/$Z$1)+2)</f>
        <v>104.07589976146878</v>
      </c>
      <c r="H185">
        <f t="shared" ca="1" si="19"/>
        <v>-0.13454529005151095</v>
      </c>
      <c r="I185">
        <f t="shared" ca="1" si="20"/>
        <v>-3.0945416711847518</v>
      </c>
      <c r="J185" s="3">
        <f t="shared" ca="1" si="21"/>
        <v>105.28680737193237</v>
      </c>
      <c r="K185" s="3">
        <f t="shared" ca="1" si="22"/>
        <v>-6.7500821760873464E-2</v>
      </c>
      <c r="L185" s="3"/>
    </row>
    <row r="186" spans="1:12" x14ac:dyDescent="0.3">
      <c r="A186">
        <v>184</v>
      </c>
      <c r="B186" s="2">
        <f t="shared" si="16"/>
        <v>2193.087008343266</v>
      </c>
      <c r="C186" s="2">
        <f t="shared" si="17"/>
        <v>3.187195133966818E-3</v>
      </c>
      <c r="D186" s="2">
        <f t="shared" si="18"/>
        <v>40.605499104125784</v>
      </c>
      <c r="E186" s="3">
        <f t="shared" si="23"/>
        <v>105.08989838742642</v>
      </c>
      <c r="F186" cm="1">
        <f t="array" aca="1" ref="F186" ca="1">INDEX($O$2:$O$34,INT(A186/$Z$1)+1)</f>
        <v>108.38134904311713</v>
      </c>
      <c r="G186" cm="1">
        <f t="array" aca="1" ref="G186" ca="1">INDEX($O$2:$O$34,INT(A186/$Z$1)+2)</f>
        <v>104.07589976146878</v>
      </c>
      <c r="H186">
        <f t="shared" ca="1" si="19"/>
        <v>-0.13454529005151095</v>
      </c>
      <c r="I186">
        <f t="shared" ca="1" si="20"/>
        <v>-3.2290869612362627</v>
      </c>
      <c r="J186" s="3">
        <f t="shared" ca="1" si="21"/>
        <v>105.15226208188086</v>
      </c>
      <c r="K186" s="3">
        <f t="shared" ca="1" si="22"/>
        <v>-6.2363694454447227E-2</v>
      </c>
      <c r="L186" s="3"/>
    </row>
    <row r="187" spans="1:12" x14ac:dyDescent="0.3">
      <c r="A187">
        <v>185</v>
      </c>
      <c r="B187" s="2">
        <f t="shared" si="16"/>
        <v>2207.6372315035801</v>
      </c>
      <c r="C187" s="2">
        <f t="shared" si="17"/>
        <v>3.1879221839900842E-3</v>
      </c>
      <c r="D187" s="2">
        <f t="shared" si="18"/>
        <v>40.533942795734959</v>
      </c>
      <c r="E187" s="3">
        <f t="shared" si="23"/>
        <v>104.96109703232293</v>
      </c>
      <c r="F187" cm="1">
        <f t="array" aca="1" ref="F187" ca="1">INDEX($O$2:$O$34,INT(A187/$Z$1)+1)</f>
        <v>108.38134904311713</v>
      </c>
      <c r="G187" cm="1">
        <f t="array" aca="1" ref="G187" ca="1">INDEX($O$2:$O$34,INT(A187/$Z$1)+2)</f>
        <v>104.07589976146878</v>
      </c>
      <c r="H187">
        <f t="shared" ca="1" si="19"/>
        <v>-0.13454529005151095</v>
      </c>
      <c r="I187">
        <f t="shared" ca="1" si="20"/>
        <v>-3.3636322512877737</v>
      </c>
      <c r="J187" s="3">
        <f t="shared" ca="1" si="21"/>
        <v>105.01771679182936</v>
      </c>
      <c r="K187" s="3">
        <f t="shared" ca="1" si="22"/>
        <v>-5.6619759506432388E-2</v>
      </c>
      <c r="L187" s="3"/>
    </row>
    <row r="188" spans="1:12" x14ac:dyDescent="0.3">
      <c r="A188">
        <v>186</v>
      </c>
      <c r="B188" s="2">
        <f t="shared" si="16"/>
        <v>2222.2222222222222</v>
      </c>
      <c r="C188" s="2">
        <f t="shared" si="17"/>
        <v>3.1886461780285444E-3</v>
      </c>
      <c r="D188" s="2">
        <f t="shared" si="18"/>
        <v>40.462719683522096</v>
      </c>
      <c r="E188" s="3">
        <f t="shared" si="23"/>
        <v>104.83289543033978</v>
      </c>
      <c r="F188" cm="1">
        <f t="array" aca="1" ref="F188" ca="1">INDEX($O$2:$O$34,INT(A188/$Z$1)+1)</f>
        <v>108.38134904311713</v>
      </c>
      <c r="G188" cm="1">
        <f t="array" aca="1" ref="G188" ca="1">INDEX($O$2:$O$34,INT(A188/$Z$1)+2)</f>
        <v>104.07589976146878</v>
      </c>
      <c r="H188">
        <f t="shared" ca="1" si="19"/>
        <v>-0.13454529005151095</v>
      </c>
      <c r="I188">
        <f t="shared" ca="1" si="20"/>
        <v>-3.4981775413392846</v>
      </c>
      <c r="J188" s="3">
        <f t="shared" ca="1" si="21"/>
        <v>104.88317150177784</v>
      </c>
      <c r="K188" s="3">
        <f t="shared" ca="1" si="22"/>
        <v>-5.0276071438062786E-2</v>
      </c>
      <c r="L188" s="3"/>
    </row>
    <row r="189" spans="1:12" x14ac:dyDescent="0.3">
      <c r="A189">
        <v>187</v>
      </c>
      <c r="B189" s="2">
        <f t="shared" si="16"/>
        <v>2236.8421052631579</v>
      </c>
      <c r="C189" s="2">
        <f t="shared" si="17"/>
        <v>3.189367150907741E-3</v>
      </c>
      <c r="D189" s="2">
        <f t="shared" si="18"/>
        <v>40.391825912198669</v>
      </c>
      <c r="E189" s="3">
        <f t="shared" si="23"/>
        <v>104.7052866419576</v>
      </c>
      <c r="F189" cm="1">
        <f t="array" aca="1" ref="F189" ca="1">INDEX($O$2:$O$34,INT(A189/$Z$1)+1)</f>
        <v>108.38134904311713</v>
      </c>
      <c r="G189" cm="1">
        <f t="array" aca="1" ref="G189" ca="1">INDEX($O$2:$O$34,INT(A189/$Z$1)+2)</f>
        <v>104.07589976146878</v>
      </c>
      <c r="H189">
        <f t="shared" ca="1" si="19"/>
        <v>-0.13454529005151095</v>
      </c>
      <c r="I189">
        <f t="shared" ca="1" si="20"/>
        <v>-3.6327228313907955</v>
      </c>
      <c r="J189" s="3">
        <f t="shared" ca="1" si="21"/>
        <v>104.74862621172633</v>
      </c>
      <c r="K189" s="3">
        <f t="shared" ca="1" si="22"/>
        <v>-4.3339569768733099E-2</v>
      </c>
      <c r="L189" s="3"/>
    </row>
    <row r="190" spans="1:12" x14ac:dyDescent="0.3">
      <c r="A190">
        <v>188</v>
      </c>
      <c r="B190" s="2">
        <f t="shared" si="16"/>
        <v>2251.4970059880238</v>
      </c>
      <c r="C190" s="2">
        <f t="shared" si="17"/>
        <v>3.1900851369033346E-3</v>
      </c>
      <c r="D190" s="2">
        <f t="shared" si="18"/>
        <v>40.3212576889768</v>
      </c>
      <c r="E190" s="3">
        <f t="shared" si="23"/>
        <v>104.57826384015824</v>
      </c>
      <c r="F190" cm="1">
        <f t="array" aca="1" ref="F190" ca="1">INDEX($O$2:$O$34,INT(A190/$Z$1)+1)</f>
        <v>108.38134904311713</v>
      </c>
      <c r="G190" cm="1">
        <f t="array" aca="1" ref="G190" ca="1">INDEX($O$2:$O$34,INT(A190/$Z$1)+2)</f>
        <v>104.07589976146878</v>
      </c>
      <c r="H190">
        <f t="shared" ca="1" si="19"/>
        <v>-0.13454529005151095</v>
      </c>
      <c r="I190">
        <f t="shared" ca="1" si="20"/>
        <v>-3.7672681214423065</v>
      </c>
      <c r="J190" s="3">
        <f t="shared" ca="1" si="21"/>
        <v>104.61408092167483</v>
      </c>
      <c r="K190" s="3">
        <f t="shared" ca="1" si="22"/>
        <v>-3.5817081516583471E-2</v>
      </c>
      <c r="L190" s="3"/>
    </row>
    <row r="191" spans="1:12" x14ac:dyDescent="0.3">
      <c r="A191">
        <v>189</v>
      </c>
      <c r="B191" s="2">
        <f t="shared" si="16"/>
        <v>2266.1870503597124</v>
      </c>
      <c r="C191" s="2">
        <f t="shared" si="17"/>
        <v>3.19080016975281E-3</v>
      </c>
      <c r="D191" s="2">
        <f t="shared" si="18"/>
        <v>40.251011282216894</v>
      </c>
      <c r="E191" s="3">
        <f t="shared" si="23"/>
        <v>104.4518203079904</v>
      </c>
      <c r="F191" cm="1">
        <f t="array" aca="1" ref="F191" ca="1">INDEX($O$2:$O$34,INT(A191/$Z$1)+1)</f>
        <v>108.38134904311713</v>
      </c>
      <c r="G191" cm="1">
        <f t="array" aca="1" ref="G191" ca="1">INDEX($O$2:$O$34,INT(A191/$Z$1)+2)</f>
        <v>104.07589976146878</v>
      </c>
      <c r="H191">
        <f t="shared" ca="1" si="19"/>
        <v>-0.13454529005151095</v>
      </c>
      <c r="I191">
        <f t="shared" ca="1" si="20"/>
        <v>-3.9018134114938174</v>
      </c>
      <c r="J191" s="3">
        <f t="shared" ca="1" si="21"/>
        <v>104.47953563162331</v>
      </c>
      <c r="K191" s="3">
        <f t="shared" ca="1" si="22"/>
        <v>-2.7715323632904187E-2</v>
      </c>
      <c r="L191" s="3"/>
    </row>
    <row r="192" spans="1:12" x14ac:dyDescent="0.3">
      <c r="A192">
        <v>190</v>
      </c>
      <c r="B192" s="2">
        <f t="shared" si="16"/>
        <v>2280.9123649459784</v>
      </c>
      <c r="C192" s="2">
        <f t="shared" si="17"/>
        <v>3.19151228266687E-3</v>
      </c>
      <c r="D192" s="2">
        <f t="shared" si="18"/>
        <v>40.181083020111942</v>
      </c>
      <c r="E192" s="3">
        <f t="shared" si="23"/>
        <v>104.3259494362015</v>
      </c>
      <c r="F192" cm="1">
        <f t="array" aca="1" ref="F192" ca="1">INDEX($O$2:$O$34,INT(A192/$Z$1)+1)</f>
        <v>108.38134904311713</v>
      </c>
      <c r="G192" cm="1">
        <f t="array" aca="1" ref="G192" ca="1">INDEX($O$2:$O$34,INT(A192/$Z$1)+2)</f>
        <v>104.07589976146878</v>
      </c>
      <c r="H192">
        <f t="shared" ca="1" si="19"/>
        <v>-0.13454529005151095</v>
      </c>
      <c r="I192">
        <f t="shared" ca="1" si="20"/>
        <v>-4.0363587015453284</v>
      </c>
      <c r="J192" s="3">
        <f t="shared" ca="1" si="21"/>
        <v>104.3449903415718</v>
      </c>
      <c r="K192" s="3">
        <f t="shared" ca="1" si="22"/>
        <v>-1.9040905370303562E-2</v>
      </c>
      <c r="L192" s="3"/>
    </row>
    <row r="193" spans="1:12" x14ac:dyDescent="0.3">
      <c r="A193">
        <v>191</v>
      </c>
      <c r="B193" s="2">
        <f t="shared" si="16"/>
        <v>2295.6730769230771</v>
      </c>
      <c r="C193" s="2">
        <f t="shared" si="17"/>
        <v>3.1922215083405314E-3</v>
      </c>
      <c r="D193" s="2">
        <f t="shared" si="18"/>
        <v>40.111469289406443</v>
      </c>
      <c r="E193" s="3">
        <f t="shared" si="23"/>
        <v>104.20064472093159</v>
      </c>
      <c r="F193" cm="1">
        <f t="array" aca="1" ref="F193" ca="1">INDEX($O$2:$O$34,INT(A193/$Z$1)+1)</f>
        <v>108.38134904311713</v>
      </c>
      <c r="G193" cm="1">
        <f t="array" aca="1" ref="G193" ca="1">INDEX($O$2:$O$34,INT(A193/$Z$1)+2)</f>
        <v>104.07589976146878</v>
      </c>
      <c r="H193">
        <f t="shared" ca="1" si="19"/>
        <v>-0.13454529005151095</v>
      </c>
      <c r="I193">
        <f t="shared" ca="1" si="20"/>
        <v>-4.1709039915968393</v>
      </c>
      <c r="J193" s="3">
        <f t="shared" ca="1" si="21"/>
        <v>104.21044505152028</v>
      </c>
      <c r="K193" s="3">
        <f t="shared" ca="1" si="22"/>
        <v>-9.8003305886891212E-3</v>
      </c>
      <c r="L193" s="3"/>
    </row>
    <row r="194" spans="1:12" x14ac:dyDescent="0.3">
      <c r="A194">
        <v>192</v>
      </c>
      <c r="B194" s="2">
        <f t="shared" ref="B194:B257" si="24">$T$1*A194/($V$1-A194)</f>
        <v>2310.4693140794225</v>
      </c>
      <c r="C194" s="2">
        <f t="shared" ref="C194:C257" si="25">LOG(B194/$T$2)/$T$3 + (1/$X$2)</f>
        <v>3.1929278789639324E-3</v>
      </c>
      <c r="D194" s="2">
        <f t="shared" ref="D194:D257" si="26">1/C194 - 273.15</f>
        <v>40.042166534149317</v>
      </c>
      <c r="E194" s="3">
        <f t="shared" si="23"/>
        <v>104.07589976146878</v>
      </c>
      <c r="F194" cm="1">
        <f t="array" aca="1" ref="F194" ca="1">INDEX($O$2:$O$34,INT(A194/$Z$1)+1)</f>
        <v>104.07589976146878</v>
      </c>
      <c r="G194" cm="1">
        <f t="array" aca="1" ref="G194" ca="1">INDEX($O$2:$O$34,INT(A194/$Z$1)+2)</f>
        <v>100.34598547399466</v>
      </c>
      <c r="H194">
        <f t="shared" ca="1" si="19"/>
        <v>-0.11655982148356614</v>
      </c>
      <c r="I194">
        <f t="shared" ca="1" si="20"/>
        <v>0</v>
      </c>
      <c r="J194" s="3">
        <f t="shared" ca="1" si="21"/>
        <v>104.07589976146878</v>
      </c>
      <c r="K194" s="3">
        <f t="shared" ca="1" si="22"/>
        <v>0</v>
      </c>
      <c r="L194" s="3"/>
    </row>
    <row r="195" spans="1:12" x14ac:dyDescent="0.3">
      <c r="A195">
        <v>193</v>
      </c>
      <c r="B195" s="2">
        <f t="shared" si="24"/>
        <v>2325.3012048192772</v>
      </c>
      <c r="C195" s="2">
        <f t="shared" si="25"/>
        <v>3.1936314262328595E-3</v>
      </c>
      <c r="D195" s="2">
        <f t="shared" si="26"/>
        <v>39.973171254479723</v>
      </c>
      <c r="E195" s="3">
        <f t="shared" si="23"/>
        <v>103.9517082580635</v>
      </c>
      <c r="F195" cm="1">
        <f t="array" aca="1" ref="F195" ca="1">INDEX($O$2:$O$34,INT(A195/$Z$1)+1)</f>
        <v>104.07589976146878</v>
      </c>
      <c r="G195" cm="1">
        <f t="array" aca="1" ref="G195" ca="1">INDEX($O$2:$O$34,INT(A195/$Z$1)+2)</f>
        <v>100.34598547399466</v>
      </c>
      <c r="H195">
        <f t="shared" ref="H195:H258" ca="1" si="27">(G195-F195)/$Z$1</f>
        <v>-0.11655982148356614</v>
      </c>
      <c r="I195">
        <f t="shared" ref="I195:I258" ca="1" si="28">H195*MOD(A195,$Z$1)</f>
        <v>-0.11655982148356614</v>
      </c>
      <c r="J195" s="3">
        <f t="shared" ref="J195:J258" ca="1" si="29">F195+I195</f>
        <v>103.95933993998521</v>
      </c>
      <c r="K195" s="3">
        <f t="shared" ref="K195:K258" ca="1" si="30">E195-J195</f>
        <v>-7.6316819217083776E-3</v>
      </c>
      <c r="L195" s="3"/>
    </row>
    <row r="196" spans="1:12" x14ac:dyDescent="0.3">
      <c r="A196">
        <v>194</v>
      </c>
      <c r="B196" s="2">
        <f t="shared" si="24"/>
        <v>2340.1688781664657</v>
      </c>
      <c r="C196" s="2">
        <f t="shared" si="25"/>
        <v>3.1943321813589992E-3</v>
      </c>
      <c r="D196" s="2">
        <f t="shared" si="26"/>
        <v>39.904480005444896</v>
      </c>
      <c r="E196" s="3">
        <f t="shared" ref="E196:E259" si="31">D196*9/5 + 32</f>
        <v>103.82806400980081</v>
      </c>
      <c r="F196" cm="1">
        <f t="array" aca="1" ref="F196" ca="1">INDEX($O$2:$O$34,INT(A196/$Z$1)+1)</f>
        <v>104.07589976146878</v>
      </c>
      <c r="G196" cm="1">
        <f t="array" aca="1" ref="G196" ca="1">INDEX($O$2:$O$34,INT(A196/$Z$1)+2)</f>
        <v>100.34598547399466</v>
      </c>
      <c r="H196">
        <f t="shared" ca="1" si="27"/>
        <v>-0.11655982148356614</v>
      </c>
      <c r="I196">
        <f t="shared" ca="1" si="28"/>
        <v>-0.23311964296713228</v>
      </c>
      <c r="J196" s="3">
        <f t="shared" ca="1" si="29"/>
        <v>103.84278011850165</v>
      </c>
      <c r="K196" s="3">
        <f t="shared" ca="1" si="30"/>
        <v>-1.4716108700838504E-2</v>
      </c>
      <c r="L196" s="3"/>
    </row>
    <row r="197" spans="1:12" x14ac:dyDescent="0.3">
      <c r="A197">
        <v>195</v>
      </c>
      <c r="B197" s="2">
        <f t="shared" si="24"/>
        <v>2355.072463768116</v>
      </c>
      <c r="C197" s="2">
        <f t="shared" si="25"/>
        <v>3.1950301750799325E-3</v>
      </c>
      <c r="D197" s="2">
        <f t="shared" si="26"/>
        <v>39.836089395848148</v>
      </c>
      <c r="E197" s="3">
        <f t="shared" si="31"/>
        <v>103.70496091252667</v>
      </c>
      <c r="F197" cm="1">
        <f t="array" aca="1" ref="F197" ca="1">INDEX($O$2:$O$34,INT(A197/$Z$1)+1)</f>
        <v>104.07589976146878</v>
      </c>
      <c r="G197" cm="1">
        <f t="array" aca="1" ref="G197" ca="1">INDEX($O$2:$O$34,INT(A197/$Z$1)+2)</f>
        <v>100.34598547399466</v>
      </c>
      <c r="H197">
        <f t="shared" ca="1" si="27"/>
        <v>-0.11655982148356614</v>
      </c>
      <c r="I197">
        <f t="shared" ca="1" si="28"/>
        <v>-0.34967946445069842</v>
      </c>
      <c r="J197" s="3">
        <f t="shared" ca="1" si="29"/>
        <v>103.72622029701807</v>
      </c>
      <c r="K197" s="3">
        <f t="shared" ca="1" si="30"/>
        <v>-2.1259384491401079E-2</v>
      </c>
      <c r="L197" s="3"/>
    </row>
    <row r="198" spans="1:12" x14ac:dyDescent="0.3">
      <c r="A198">
        <v>196</v>
      </c>
      <c r="B198" s="2">
        <f t="shared" si="24"/>
        <v>2370.012091898428</v>
      </c>
      <c r="C198" s="2">
        <f t="shared" si="25"/>
        <v>3.1957254376688668E-3</v>
      </c>
      <c r="D198" s="2">
        <f t="shared" si="26"/>
        <v>39.767996087127415</v>
      </c>
      <c r="E198" s="3">
        <f t="shared" si="31"/>
        <v>103.58239295682935</v>
      </c>
      <c r="F198" cm="1">
        <f t="array" aca="1" ref="F198" ca="1">INDEX($O$2:$O$34,INT(A198/$Z$1)+1)</f>
        <v>104.07589976146878</v>
      </c>
      <c r="G198" cm="1">
        <f t="array" aca="1" ref="G198" ca="1">INDEX($O$2:$O$34,INT(A198/$Z$1)+2)</f>
        <v>100.34598547399466</v>
      </c>
      <c r="H198">
        <f t="shared" ca="1" si="27"/>
        <v>-0.11655982148356614</v>
      </c>
      <c r="I198">
        <f t="shared" ca="1" si="28"/>
        <v>-0.46623928593426456</v>
      </c>
      <c r="J198" s="3">
        <f t="shared" ca="1" si="29"/>
        <v>103.60966047553451</v>
      </c>
      <c r="K198" s="3">
        <f t="shared" ca="1" si="30"/>
        <v>-2.7267518705158977E-2</v>
      </c>
      <c r="L198" s="3"/>
    </row>
    <row r="199" spans="1:12" x14ac:dyDescent="0.3">
      <c r="A199">
        <v>197</v>
      </c>
      <c r="B199" s="2">
        <f t="shared" si="24"/>
        <v>2384.9878934624699</v>
      </c>
      <c r="C199" s="2">
        <f t="shared" si="25"/>
        <v>3.1964179989441279E-3</v>
      </c>
      <c r="D199" s="2">
        <f t="shared" si="26"/>
        <v>39.700196792262432</v>
      </c>
      <c r="E199" s="3">
        <f t="shared" si="31"/>
        <v>103.46035422607238</v>
      </c>
      <c r="F199" cm="1">
        <f t="array" aca="1" ref="F199" ca="1">INDEX($O$2:$O$34,INT(A199/$Z$1)+1)</f>
        <v>104.07589976146878</v>
      </c>
      <c r="G199" cm="1">
        <f t="array" aca="1" ref="G199" ca="1">INDEX($O$2:$O$34,INT(A199/$Z$1)+2)</f>
        <v>100.34598547399466</v>
      </c>
      <c r="H199">
        <f t="shared" ca="1" si="27"/>
        <v>-0.11655982148356614</v>
      </c>
      <c r="I199">
        <f t="shared" ca="1" si="28"/>
        <v>-0.5827991074178307</v>
      </c>
      <c r="J199" s="3">
        <f t="shared" ca="1" si="29"/>
        <v>103.49310065405095</v>
      </c>
      <c r="K199" s="3">
        <f t="shared" ca="1" si="30"/>
        <v>-3.2746427978565862E-2</v>
      </c>
      <c r="L199" s="3"/>
    </row>
    <row r="200" spans="1:12" x14ac:dyDescent="0.3">
      <c r="A200">
        <v>198</v>
      </c>
      <c r="B200" s="2">
        <f t="shared" si="24"/>
        <v>2400</v>
      </c>
      <c r="C200" s="2">
        <f t="shared" si="25"/>
        <v>3.1971078882784051E-3</v>
      </c>
      <c r="D200" s="2">
        <f t="shared" si="26"/>
        <v>39.632688274709778</v>
      </c>
      <c r="E200" s="3">
        <f t="shared" si="31"/>
        <v>103.3388388944776</v>
      </c>
      <c r="F200" cm="1">
        <f t="array" aca="1" ref="F200" ca="1">INDEX($O$2:$O$34,INT(A200/$Z$1)+1)</f>
        <v>104.07589976146878</v>
      </c>
      <c r="G200" cm="1">
        <f t="array" aca="1" ref="G200" ca="1">INDEX($O$2:$O$34,INT(A200/$Z$1)+2)</f>
        <v>100.34598547399466</v>
      </c>
      <c r="H200">
        <f t="shared" ca="1" si="27"/>
        <v>-0.11655982148356614</v>
      </c>
      <c r="I200">
        <f t="shared" ca="1" si="28"/>
        <v>-0.69935892890139684</v>
      </c>
      <c r="J200" s="3">
        <f t="shared" ca="1" si="29"/>
        <v>103.37654083256737</v>
      </c>
      <c r="K200" s="3">
        <f t="shared" ca="1" si="30"/>
        <v>-3.770193808976785E-2</v>
      </c>
      <c r="L200" s="3"/>
    </row>
    <row r="201" spans="1:12" x14ac:dyDescent="0.3">
      <c r="A201">
        <v>199</v>
      </c>
      <c r="B201" s="2">
        <f t="shared" si="24"/>
        <v>2415.0485436893205</v>
      </c>
      <c r="C201" s="2">
        <f t="shared" si="25"/>
        <v>3.1977951346077683E-3</v>
      </c>
      <c r="D201" s="2">
        <f t="shared" si="26"/>
        <v>39.565467347365598</v>
      </c>
      <c r="E201" s="3">
        <f t="shared" si="31"/>
        <v>103.21784122525807</v>
      </c>
      <c r="F201" cm="1">
        <f t="array" aca="1" ref="F201" ca="1">INDEX($O$2:$O$34,INT(A201/$Z$1)+1)</f>
        <v>104.07589976146878</v>
      </c>
      <c r="G201" cm="1">
        <f t="array" aca="1" ref="G201" ca="1">INDEX($O$2:$O$34,INT(A201/$Z$1)+2)</f>
        <v>100.34598547399466</v>
      </c>
      <c r="H201">
        <f t="shared" ca="1" si="27"/>
        <v>-0.11655982148356614</v>
      </c>
      <c r="I201">
        <f t="shared" ca="1" si="28"/>
        <v>-0.81591875038496298</v>
      </c>
      <c r="J201" s="3">
        <f t="shared" ca="1" si="29"/>
        <v>103.25998101108381</v>
      </c>
      <c r="K201" s="3">
        <f t="shared" ca="1" si="30"/>
        <v>-4.2139785825739295E-2</v>
      </c>
      <c r="L201" s="3"/>
    </row>
    <row r="202" spans="1:12" x14ac:dyDescent="0.3">
      <c r="A202">
        <v>200</v>
      </c>
      <c r="B202" s="2">
        <f t="shared" si="24"/>
        <v>2430.1336573511544</v>
      </c>
      <c r="C202" s="2">
        <f t="shared" si="25"/>
        <v>3.1984797664404573E-3</v>
      </c>
      <c r="D202" s="2">
        <f t="shared" si="26"/>
        <v>39.498530871553953</v>
      </c>
      <c r="E202" s="3">
        <f t="shared" si="31"/>
        <v>103.09735556879711</v>
      </c>
      <c r="F202" cm="1">
        <f t="array" aca="1" ref="F202" ca="1">INDEX($O$2:$O$34,INT(A202/$Z$1)+1)</f>
        <v>104.07589976146878</v>
      </c>
      <c r="G202" cm="1">
        <f t="array" aca="1" ref="G202" ca="1">INDEX($O$2:$O$34,INT(A202/$Z$1)+2)</f>
        <v>100.34598547399466</v>
      </c>
      <c r="H202">
        <f t="shared" ca="1" si="27"/>
        <v>-0.11655982148356614</v>
      </c>
      <c r="I202">
        <f t="shared" ca="1" si="28"/>
        <v>-0.93247857186852912</v>
      </c>
      <c r="J202" s="3">
        <f t="shared" ca="1" si="29"/>
        <v>103.14342118960025</v>
      </c>
      <c r="K202" s="3">
        <f t="shared" ca="1" si="30"/>
        <v>-4.6065620803133811E-2</v>
      </c>
      <c r="L202" s="3"/>
    </row>
    <row r="203" spans="1:12" x14ac:dyDescent="0.3">
      <c r="A203">
        <v>201</v>
      </c>
      <c r="B203" s="2">
        <f t="shared" si="24"/>
        <v>2445.2554744525546</v>
      </c>
      <c r="C203" s="2">
        <f t="shared" si="25"/>
        <v>3.1991618118654514E-3</v>
      </c>
      <c r="D203" s="2">
        <f t="shared" si="26"/>
        <v>39.431875756041791</v>
      </c>
      <c r="E203" s="3">
        <f t="shared" si="31"/>
        <v>102.97737636087523</v>
      </c>
      <c r="F203" cm="1">
        <f t="array" aca="1" ref="F203" ca="1">INDEX($O$2:$O$34,INT(A203/$Z$1)+1)</f>
        <v>104.07589976146878</v>
      </c>
      <c r="G203" cm="1">
        <f t="array" aca="1" ref="G203" ca="1">INDEX($O$2:$O$34,INT(A203/$Z$1)+2)</f>
        <v>100.34598547399466</v>
      </c>
      <c r="H203">
        <f t="shared" ca="1" si="27"/>
        <v>-0.11655982148356614</v>
      </c>
      <c r="I203">
        <f t="shared" ca="1" si="28"/>
        <v>-1.0490383933520953</v>
      </c>
      <c r="J203" s="3">
        <f t="shared" ca="1" si="29"/>
        <v>103.02686136811668</v>
      </c>
      <c r="K203" s="3">
        <f t="shared" ca="1" si="30"/>
        <v>-4.9485007241457879E-2</v>
      </c>
      <c r="L203" s="3"/>
    </row>
    <row r="204" spans="1:12" x14ac:dyDescent="0.3">
      <c r="A204">
        <v>202</v>
      </c>
      <c r="B204" s="2">
        <f t="shared" si="24"/>
        <v>2460.4141291108403</v>
      </c>
      <c r="C204" s="2">
        <f t="shared" si="25"/>
        <v>3.1998412985608298E-3</v>
      </c>
      <c r="D204" s="2">
        <f t="shared" si="26"/>
        <v>39.365498956077317</v>
      </c>
      <c r="E204" s="3">
        <f t="shared" si="31"/>
        <v>102.85789812093917</v>
      </c>
      <c r="F204" cm="1">
        <f t="array" aca="1" ref="F204" ca="1">INDEX($O$2:$O$34,INT(A204/$Z$1)+1)</f>
        <v>104.07589976146878</v>
      </c>
      <c r="G204" cm="1">
        <f t="array" aca="1" ref="G204" ca="1">INDEX($O$2:$O$34,INT(A204/$Z$1)+2)</f>
        <v>100.34598547399466</v>
      </c>
      <c r="H204">
        <f t="shared" ca="1" si="27"/>
        <v>-0.11655982148356614</v>
      </c>
      <c r="I204">
        <f t="shared" ca="1" si="28"/>
        <v>-1.1655982148356614</v>
      </c>
      <c r="J204" s="3">
        <f t="shared" ca="1" si="29"/>
        <v>102.91030154663312</v>
      </c>
      <c r="K204" s="3">
        <f t="shared" ca="1" si="30"/>
        <v>-5.2403425693952954E-2</v>
      </c>
      <c r="L204" s="3"/>
    </row>
    <row r="205" spans="1:12" x14ac:dyDescent="0.3">
      <c r="A205">
        <v>203</v>
      </c>
      <c r="B205" s="2">
        <f t="shared" si="24"/>
        <v>2475.6097560975609</v>
      </c>
      <c r="C205" s="2">
        <f t="shared" si="25"/>
        <v>3.2005182538019216E-3</v>
      </c>
      <c r="D205" s="2">
        <f t="shared" si="26"/>
        <v>39.299397472453734</v>
      </c>
      <c r="E205" s="3">
        <f t="shared" si="31"/>
        <v>102.73891545041673</v>
      </c>
      <c r="F205" cm="1">
        <f t="array" aca="1" ref="F205" ca="1">INDEX($O$2:$O$34,INT(A205/$Z$1)+1)</f>
        <v>104.07589976146878</v>
      </c>
      <c r="G205" cm="1">
        <f t="array" aca="1" ref="G205" ca="1">INDEX($O$2:$O$34,INT(A205/$Z$1)+2)</f>
        <v>100.34598547399466</v>
      </c>
      <c r="H205">
        <f t="shared" ca="1" si="27"/>
        <v>-0.11655982148356614</v>
      </c>
      <c r="I205">
        <f t="shared" ca="1" si="28"/>
        <v>-1.2821580363192275</v>
      </c>
      <c r="J205" s="3">
        <f t="shared" ca="1" si="29"/>
        <v>102.79374172514954</v>
      </c>
      <c r="K205" s="3">
        <f t="shared" ca="1" si="30"/>
        <v>-5.4826274732818092E-2</v>
      </c>
      <c r="L205" s="3"/>
    </row>
    <row r="206" spans="1:12" x14ac:dyDescent="0.3">
      <c r="A206">
        <v>204</v>
      </c>
      <c r="B206" s="2">
        <f t="shared" si="24"/>
        <v>2490.8424908424909</v>
      </c>
      <c r="C206" s="2">
        <f t="shared" si="25"/>
        <v>3.2011927044692597E-3</v>
      </c>
      <c r="D206" s="2">
        <f t="shared" si="26"/>
        <v>39.233568350595306</v>
      </c>
      <c r="E206" s="3">
        <f t="shared" si="31"/>
        <v>102.62042303107155</v>
      </c>
      <c r="F206" cm="1">
        <f t="array" aca="1" ref="F206" ca="1">INDEX($O$2:$O$34,INT(A206/$Z$1)+1)</f>
        <v>104.07589976146878</v>
      </c>
      <c r="G206" cm="1">
        <f t="array" aca="1" ref="G206" ca="1">INDEX($O$2:$O$34,INT(A206/$Z$1)+2)</f>
        <v>100.34598547399466</v>
      </c>
      <c r="H206">
        <f t="shared" ca="1" si="27"/>
        <v>-0.11655982148356614</v>
      </c>
      <c r="I206">
        <f t="shared" ca="1" si="28"/>
        <v>-1.3987178578027937</v>
      </c>
      <c r="J206" s="3">
        <f t="shared" ca="1" si="29"/>
        <v>102.67718190366598</v>
      </c>
      <c r="K206" s="3">
        <f t="shared" ca="1" si="30"/>
        <v>-5.6758872594429022E-2</v>
      </c>
      <c r="L206" s="3"/>
    </row>
    <row r="207" spans="1:12" x14ac:dyDescent="0.3">
      <c r="A207">
        <v>205</v>
      </c>
      <c r="B207" s="2">
        <f t="shared" si="24"/>
        <v>2506.1124694376526</v>
      </c>
      <c r="C207" s="2">
        <f t="shared" si="25"/>
        <v>3.2018646770563355E-3</v>
      </c>
      <c r="D207" s="2">
        <f t="shared" si="26"/>
        <v>39.168008679667082</v>
      </c>
      <c r="E207" s="3">
        <f t="shared" si="31"/>
        <v>102.50241562340075</v>
      </c>
      <c r="F207" cm="1">
        <f t="array" aca="1" ref="F207" ca="1">INDEX($O$2:$O$34,INT(A207/$Z$1)+1)</f>
        <v>104.07589976146878</v>
      </c>
      <c r="G207" cm="1">
        <f t="array" aca="1" ref="G207" ca="1">INDEX($O$2:$O$34,INT(A207/$Z$1)+2)</f>
        <v>100.34598547399466</v>
      </c>
      <c r="H207">
        <f t="shared" ca="1" si="27"/>
        <v>-0.11655982148356614</v>
      </c>
      <c r="I207">
        <f t="shared" ca="1" si="28"/>
        <v>-1.5152776792863598</v>
      </c>
      <c r="J207" s="3">
        <f t="shared" ca="1" si="29"/>
        <v>102.56062208218242</v>
      </c>
      <c r="K207" s="3">
        <f t="shared" ca="1" si="30"/>
        <v>-5.8206458781668857E-2</v>
      </c>
      <c r="L207" s="3"/>
    </row>
    <row r="208" spans="1:12" x14ac:dyDescent="0.3">
      <c r="A208">
        <v>206</v>
      </c>
      <c r="B208" s="2">
        <f t="shared" si="24"/>
        <v>2521.4198286413707</v>
      </c>
      <c r="C208" s="2">
        <f t="shared" si="25"/>
        <v>3.2025341976771727E-3</v>
      </c>
      <c r="D208" s="2">
        <f t="shared" si="26"/>
        <v>39.102715591705191</v>
      </c>
      <c r="E208" s="3">
        <f t="shared" si="31"/>
        <v>102.38488806506935</v>
      </c>
      <c r="F208" cm="1">
        <f t="array" aca="1" ref="F208" ca="1">INDEX($O$2:$O$34,INT(A208/$Z$1)+1)</f>
        <v>104.07589976146878</v>
      </c>
      <c r="G208" cm="1">
        <f t="array" aca="1" ref="G208" ca="1">INDEX($O$2:$O$34,INT(A208/$Z$1)+2)</f>
        <v>100.34598547399466</v>
      </c>
      <c r="H208">
        <f t="shared" ca="1" si="27"/>
        <v>-0.11655982148356614</v>
      </c>
      <c r="I208">
        <f t="shared" ca="1" si="28"/>
        <v>-1.631837500769926</v>
      </c>
      <c r="J208" s="3">
        <f t="shared" ca="1" si="29"/>
        <v>102.44406226069884</v>
      </c>
      <c r="K208" s="3">
        <f t="shared" ca="1" si="30"/>
        <v>-5.917419562949533E-2</v>
      </c>
      <c r="L208" s="3"/>
    </row>
    <row r="209" spans="1:12" x14ac:dyDescent="0.3">
      <c r="A209">
        <v>207</v>
      </c>
      <c r="B209" s="2">
        <f t="shared" si="24"/>
        <v>2536.7647058823532</v>
      </c>
      <c r="C209" s="2">
        <f t="shared" si="25"/>
        <v>3.2032012920737091E-3</v>
      </c>
      <c r="D209" s="2">
        <f t="shared" si="26"/>
        <v>39.037686260769988</v>
      </c>
      <c r="E209" s="3">
        <f t="shared" si="31"/>
        <v>102.26783526938598</v>
      </c>
      <c r="F209" cm="1">
        <f t="array" aca="1" ref="F209" ca="1">INDEX($O$2:$O$34,INT(A209/$Z$1)+1)</f>
        <v>104.07589976146878</v>
      </c>
      <c r="G209" cm="1">
        <f t="array" aca="1" ref="G209" ca="1">INDEX($O$2:$O$34,INT(A209/$Z$1)+2)</f>
        <v>100.34598547399466</v>
      </c>
      <c r="H209">
        <f t="shared" ca="1" si="27"/>
        <v>-0.11655982148356614</v>
      </c>
      <c r="I209">
        <f t="shared" ca="1" si="28"/>
        <v>-1.7483973222534921</v>
      </c>
      <c r="J209" s="3">
        <f t="shared" ca="1" si="29"/>
        <v>102.32750243921528</v>
      </c>
      <c r="K209" s="3">
        <f t="shared" ca="1" si="30"/>
        <v>-5.966716982929654E-2</v>
      </c>
      <c r="L209" s="3"/>
    </row>
    <row r="210" spans="1:12" x14ac:dyDescent="0.3">
      <c r="A210">
        <v>208</v>
      </c>
      <c r="B210" s="2">
        <f t="shared" si="24"/>
        <v>2552.1472392638038</v>
      </c>
      <c r="C210" s="2">
        <f t="shared" si="25"/>
        <v>3.2038659856230074E-3</v>
      </c>
      <c r="D210" s="2">
        <f t="shared" si="26"/>
        <v>38.972917902118525</v>
      </c>
      <c r="E210" s="3">
        <f t="shared" si="31"/>
        <v>102.15125222381334</v>
      </c>
      <c r="F210" cm="1">
        <f t="array" aca="1" ref="F210" ca="1">INDEX($O$2:$O$34,INT(A210/$Z$1)+1)</f>
        <v>104.07589976146878</v>
      </c>
      <c r="G210" cm="1">
        <f t="array" aca="1" ref="G210" ca="1">INDEX($O$2:$O$34,INT(A210/$Z$1)+2)</f>
        <v>100.34598547399466</v>
      </c>
      <c r="H210">
        <f t="shared" ca="1" si="27"/>
        <v>-0.11655982148356614</v>
      </c>
      <c r="I210">
        <f t="shared" ca="1" si="28"/>
        <v>-1.8649571437370582</v>
      </c>
      <c r="J210" s="3">
        <f t="shared" ca="1" si="29"/>
        <v>102.21094261773172</v>
      </c>
      <c r="K210" s="3">
        <f t="shared" ca="1" si="30"/>
        <v>-5.9690393918373275E-2</v>
      </c>
      <c r="L210" s="3"/>
    </row>
    <row r="211" spans="1:12" x14ac:dyDescent="0.3">
      <c r="A211">
        <v>209</v>
      </c>
      <c r="B211" s="2">
        <f t="shared" si="24"/>
        <v>2567.5675675675675</v>
      </c>
      <c r="C211" s="2">
        <f t="shared" si="25"/>
        <v>3.2045283033442905E-3</v>
      </c>
      <c r="D211" s="2">
        <f t="shared" si="26"/>
        <v>38.908407771398402</v>
      </c>
      <c r="E211" s="3">
        <f t="shared" si="31"/>
        <v>102.03513398851712</v>
      </c>
      <c r="F211" cm="1">
        <f t="array" aca="1" ref="F211" ca="1">INDEX($O$2:$O$34,INT(A211/$Z$1)+1)</f>
        <v>104.07589976146878</v>
      </c>
      <c r="G211" cm="1">
        <f t="array" aca="1" ref="G211" ca="1">INDEX($O$2:$O$34,INT(A211/$Z$1)+2)</f>
        <v>100.34598547399466</v>
      </c>
      <c r="H211">
        <f t="shared" ca="1" si="27"/>
        <v>-0.11655982148356614</v>
      </c>
      <c r="I211">
        <f t="shared" ca="1" si="28"/>
        <v>-1.9815169652206244</v>
      </c>
      <c r="J211" s="3">
        <f t="shared" ca="1" si="29"/>
        <v>102.09438279624815</v>
      </c>
      <c r="K211" s="3">
        <f t="shared" ca="1" si="30"/>
        <v>-5.92488077310378E-2</v>
      </c>
      <c r="L211" s="3"/>
    </row>
    <row r="212" spans="1:12" x14ac:dyDescent="0.3">
      <c r="A212">
        <v>210</v>
      </c>
      <c r="B212" s="2">
        <f t="shared" si="24"/>
        <v>2583.0258302583024</v>
      </c>
      <c r="C212" s="2">
        <f t="shared" si="25"/>
        <v>3.2051882699058089E-3</v>
      </c>
      <c r="D212" s="2">
        <f t="shared" si="26"/>
        <v>38.844153163859914</v>
      </c>
      <c r="E212" s="3">
        <f t="shared" si="31"/>
        <v>101.91947569494785</v>
      </c>
      <c r="F212" cm="1">
        <f t="array" aca="1" ref="F212" ca="1">INDEX($O$2:$O$34,INT(A212/$Z$1)+1)</f>
        <v>104.07589976146878</v>
      </c>
      <c r="G212" cm="1">
        <f t="array" aca="1" ref="G212" ca="1">INDEX($O$2:$O$34,INT(A212/$Z$1)+2)</f>
        <v>100.34598547399466</v>
      </c>
      <c r="H212">
        <f t="shared" ca="1" si="27"/>
        <v>-0.11655982148356614</v>
      </c>
      <c r="I212">
        <f t="shared" ca="1" si="28"/>
        <v>-2.0980767867041905</v>
      </c>
      <c r="J212" s="3">
        <f t="shared" ca="1" si="29"/>
        <v>101.97782297476459</v>
      </c>
      <c r="K212" s="3">
        <f t="shared" ca="1" si="30"/>
        <v>-5.834727981674348E-2</v>
      </c>
      <c r="L212" s="3"/>
    </row>
    <row r="213" spans="1:12" x14ac:dyDescent="0.3">
      <c r="A213">
        <v>211</v>
      </c>
      <c r="B213" s="2">
        <f t="shared" si="24"/>
        <v>2598.5221674876848</v>
      </c>
      <c r="C213" s="2">
        <f t="shared" si="25"/>
        <v>3.2058459096315473E-3</v>
      </c>
      <c r="D213" s="2">
        <f t="shared" si="26"/>
        <v>38.78015141358793</v>
      </c>
      <c r="E213" s="3">
        <f t="shared" si="31"/>
        <v>101.80427254445827</v>
      </c>
      <c r="F213" cm="1">
        <f t="array" aca="1" ref="F213" ca="1">INDEX($O$2:$O$34,INT(A213/$Z$1)+1)</f>
        <v>104.07589976146878</v>
      </c>
      <c r="G213" cm="1">
        <f t="array" aca="1" ref="G213" ca="1">INDEX($O$2:$O$34,INT(A213/$Z$1)+2)</f>
        <v>100.34598547399466</v>
      </c>
      <c r="H213">
        <f t="shared" ca="1" si="27"/>
        <v>-0.11655982148356614</v>
      </c>
      <c r="I213">
        <f t="shared" ca="1" si="28"/>
        <v>-2.2146366081877567</v>
      </c>
      <c r="J213" s="3">
        <f t="shared" ca="1" si="29"/>
        <v>101.86126315328102</v>
      </c>
      <c r="K213" s="3">
        <f t="shared" ca="1" si="30"/>
        <v>-5.6990608822744093E-2</v>
      </c>
      <c r="L213" s="3"/>
    </row>
    <row r="214" spans="1:12" x14ac:dyDescent="0.3">
      <c r="A214">
        <v>212</v>
      </c>
      <c r="B214" s="2">
        <f t="shared" si="24"/>
        <v>2614.0567200986438</v>
      </c>
      <c r="C214" s="2">
        <f t="shared" si="25"/>
        <v>3.2065012465077695E-3</v>
      </c>
      <c r="D214" s="2">
        <f t="shared" si="26"/>
        <v>38.716399892752065</v>
      </c>
      <c r="E214" s="3">
        <f t="shared" si="31"/>
        <v>101.68951980695371</v>
      </c>
      <c r="F214" cm="1">
        <f t="array" aca="1" ref="F214" ca="1">INDEX($O$2:$O$34,INT(A214/$Z$1)+1)</f>
        <v>104.07589976146878</v>
      </c>
      <c r="G214" cm="1">
        <f t="array" aca="1" ref="G214" ca="1">INDEX($O$2:$O$34,INT(A214/$Z$1)+2)</f>
        <v>100.34598547399466</v>
      </c>
      <c r="H214">
        <f t="shared" ca="1" si="27"/>
        <v>-0.11655982148356614</v>
      </c>
      <c r="I214">
        <f t="shared" ca="1" si="28"/>
        <v>-2.3311964296713228</v>
      </c>
      <c r="J214" s="3">
        <f t="shared" ca="1" si="29"/>
        <v>101.74470333179745</v>
      </c>
      <c r="K214" s="3">
        <f t="shared" ca="1" si="30"/>
        <v>-5.5183524843741338E-2</v>
      </c>
      <c r="L214" s="3"/>
    </row>
    <row r="215" spans="1:12" x14ac:dyDescent="0.3">
      <c r="A215">
        <v>213</v>
      </c>
      <c r="B215" s="2">
        <f t="shared" si="24"/>
        <v>2629.6296296296296</v>
      </c>
      <c r="C215" s="2">
        <f t="shared" si="25"/>
        <v>3.2071543041894135E-3</v>
      </c>
      <c r="D215" s="2">
        <f t="shared" si="26"/>
        <v>38.652896010874429</v>
      </c>
      <c r="E215" s="3">
        <f t="shared" si="31"/>
        <v>101.57521281957398</v>
      </c>
      <c r="F215" cm="1">
        <f t="array" aca="1" ref="F215" ca="1">INDEX($O$2:$O$34,INT(A215/$Z$1)+1)</f>
        <v>104.07589976146878</v>
      </c>
      <c r="G215" cm="1">
        <f t="array" aca="1" ref="G215" ca="1">INDEX($O$2:$O$34,INT(A215/$Z$1)+2)</f>
        <v>100.34598547399466</v>
      </c>
      <c r="H215">
        <f t="shared" ca="1" si="27"/>
        <v>-0.11655982148356614</v>
      </c>
      <c r="I215">
        <f t="shared" ca="1" si="28"/>
        <v>-2.4477562511548889</v>
      </c>
      <c r="J215" s="3">
        <f t="shared" ca="1" si="29"/>
        <v>101.62814351031389</v>
      </c>
      <c r="K215" s="3">
        <f t="shared" ca="1" si="30"/>
        <v>-5.2930690739913189E-2</v>
      </c>
      <c r="L215" s="3"/>
    </row>
    <row r="216" spans="1:12" x14ac:dyDescent="0.3">
      <c r="A216">
        <v>214</v>
      </c>
      <c r="B216" s="2">
        <f t="shared" si="24"/>
        <v>2645.2410383189122</v>
      </c>
      <c r="C216" s="2">
        <f t="shared" si="25"/>
        <v>3.2078051060063324E-3</v>
      </c>
      <c r="D216" s="2">
        <f t="shared" si="26"/>
        <v>38.589637214115101</v>
      </c>
      <c r="E216" s="3">
        <f t="shared" si="31"/>
        <v>101.46134698540718</v>
      </c>
      <c r="F216" cm="1">
        <f t="array" aca="1" ref="F216" ca="1">INDEX($O$2:$O$34,INT(A216/$Z$1)+1)</f>
        <v>104.07589976146878</v>
      </c>
      <c r="G216" cm="1">
        <f t="array" aca="1" ref="G216" ca="1">INDEX($O$2:$O$34,INT(A216/$Z$1)+2)</f>
        <v>100.34598547399466</v>
      </c>
      <c r="H216">
        <f t="shared" ca="1" si="27"/>
        <v>-0.11655982148356614</v>
      </c>
      <c r="I216">
        <f t="shared" ca="1" si="28"/>
        <v>-2.5643160726384551</v>
      </c>
      <c r="J216" s="3">
        <f t="shared" ca="1" si="29"/>
        <v>101.51158368883031</v>
      </c>
      <c r="K216" s="3">
        <f t="shared" ca="1" si="30"/>
        <v>-5.0236703423138351E-2</v>
      </c>
      <c r="L216" s="3"/>
    </row>
    <row r="217" spans="1:12" x14ac:dyDescent="0.3">
      <c r="A217">
        <v>215</v>
      </c>
      <c r="B217" s="2">
        <f t="shared" si="24"/>
        <v>2660.8910891089108</v>
      </c>
      <c r="C217" s="2">
        <f t="shared" si="25"/>
        <v>3.2084536749693959E-3</v>
      </c>
      <c r="D217" s="2">
        <f t="shared" si="26"/>
        <v>38.526620984574038</v>
      </c>
      <c r="E217" s="3">
        <f t="shared" si="31"/>
        <v>101.34791777223327</v>
      </c>
      <c r="F217" cm="1">
        <f t="array" aca="1" ref="F217" ca="1">INDEX($O$2:$O$34,INT(A217/$Z$1)+1)</f>
        <v>104.07589976146878</v>
      </c>
      <c r="G217" cm="1">
        <f t="array" aca="1" ref="G217" ca="1">INDEX($O$2:$O$34,INT(A217/$Z$1)+2)</f>
        <v>100.34598547399466</v>
      </c>
      <c r="H217">
        <f t="shared" ca="1" si="27"/>
        <v>-0.11655982148356614</v>
      </c>
      <c r="I217">
        <f t="shared" ca="1" si="28"/>
        <v>-2.6808758941220212</v>
      </c>
      <c r="J217" s="3">
        <f t="shared" ca="1" si="29"/>
        <v>101.39502386734675</v>
      </c>
      <c r="K217" s="3">
        <f t="shared" ca="1" si="30"/>
        <v>-4.7106095113477409E-2</v>
      </c>
      <c r="L217" s="3"/>
    </row>
    <row r="218" spans="1:12" x14ac:dyDescent="0.3">
      <c r="A218">
        <v>216</v>
      </c>
      <c r="B218" s="2">
        <f t="shared" si="24"/>
        <v>2676.5799256505575</v>
      </c>
      <c r="C218" s="2">
        <f t="shared" si="25"/>
        <v>3.2091000337764442E-3</v>
      </c>
      <c r="D218" s="2">
        <f t="shared" si="26"/>
        <v>38.463844839609976</v>
      </c>
      <c r="E218" s="3">
        <f t="shared" si="31"/>
        <v>101.23492071129796</v>
      </c>
      <c r="F218" cm="1">
        <f t="array" aca="1" ref="F218" ca="1">INDEX($O$2:$O$34,INT(A218/$Z$1)+1)</f>
        <v>104.07589976146878</v>
      </c>
      <c r="G218" cm="1">
        <f t="array" aca="1" ref="G218" ca="1">INDEX($O$2:$O$34,INT(A218/$Z$1)+2)</f>
        <v>100.34598547399466</v>
      </c>
      <c r="H218">
        <f t="shared" ca="1" si="27"/>
        <v>-0.11655982148356614</v>
      </c>
      <c r="I218">
        <f t="shared" ca="1" si="28"/>
        <v>-2.7974357156055873</v>
      </c>
      <c r="J218" s="3">
        <f t="shared" ca="1" si="29"/>
        <v>101.27846404586319</v>
      </c>
      <c r="K218" s="3">
        <f t="shared" ca="1" si="30"/>
        <v>-4.354333456522852E-2</v>
      </c>
      <c r="L218" s="3"/>
    </row>
    <row r="219" spans="1:12" x14ac:dyDescent="0.3">
      <c r="A219">
        <v>217</v>
      </c>
      <c r="B219" s="2">
        <f t="shared" si="24"/>
        <v>2692.3076923076924</v>
      </c>
      <c r="C219" s="2">
        <f t="shared" si="25"/>
        <v>3.2097442048181096E-3</v>
      </c>
      <c r="D219" s="2">
        <f t="shared" si="26"/>
        <v>38.401306331174851</v>
      </c>
      <c r="E219" s="3">
        <f t="shared" si="31"/>
        <v>101.12235139611474</v>
      </c>
      <c r="F219" cm="1">
        <f t="array" aca="1" ref="F219" ca="1">INDEX($O$2:$O$34,INT(A219/$Z$1)+1)</f>
        <v>104.07589976146878</v>
      </c>
      <c r="G219" cm="1">
        <f t="array" aca="1" ref="G219" ca="1">INDEX($O$2:$O$34,INT(A219/$Z$1)+2)</f>
        <v>100.34598547399466</v>
      </c>
      <c r="H219">
        <f t="shared" ca="1" si="27"/>
        <v>-0.11655982148356614</v>
      </c>
      <c r="I219">
        <f t="shared" ca="1" si="28"/>
        <v>-2.9139955370891535</v>
      </c>
      <c r="J219" s="3">
        <f t="shared" ca="1" si="29"/>
        <v>101.16190422437963</v>
      </c>
      <c r="K219" s="3">
        <f t="shared" ca="1" si="30"/>
        <v>-3.9552828264888262E-2</v>
      </c>
      <c r="L219" s="3"/>
    </row>
    <row r="220" spans="1:12" x14ac:dyDescent="0.3">
      <c r="A220">
        <v>218</v>
      </c>
      <c r="B220" s="2">
        <f t="shared" si="24"/>
        <v>2708.0745341614906</v>
      </c>
      <c r="C220" s="2">
        <f t="shared" si="25"/>
        <v>3.2103862101835016E-3</v>
      </c>
      <c r="D220" s="2">
        <f t="shared" si="26"/>
        <v>38.339003045163622</v>
      </c>
      <c r="E220" s="3">
        <f t="shared" si="31"/>
        <v>101.01020548129452</v>
      </c>
      <c r="F220" cm="1">
        <f t="array" aca="1" ref="F220" ca="1">INDEX($O$2:$O$34,INT(A220/$Z$1)+1)</f>
        <v>104.07589976146878</v>
      </c>
      <c r="G220" cm="1">
        <f t="array" aca="1" ref="G220" ca="1">INDEX($O$2:$O$34,INT(A220/$Z$1)+2)</f>
        <v>100.34598547399466</v>
      </c>
      <c r="H220">
        <f t="shared" ca="1" si="27"/>
        <v>-0.11655982148356614</v>
      </c>
      <c r="I220">
        <f t="shared" ca="1" si="28"/>
        <v>-3.0305553585727196</v>
      </c>
      <c r="J220" s="3">
        <f t="shared" ca="1" si="29"/>
        <v>101.04534440289606</v>
      </c>
      <c r="K220" s="3">
        <f t="shared" ca="1" si="30"/>
        <v>-3.5138921601543416E-2</v>
      </c>
      <c r="L220" s="3"/>
    </row>
    <row r="221" spans="1:12" x14ac:dyDescent="0.3">
      <c r="A221">
        <v>219</v>
      </c>
      <c r="B221" s="2">
        <f t="shared" si="24"/>
        <v>2723.8805970149256</v>
      </c>
      <c r="C221" s="2">
        <f t="shared" si="25"/>
        <v>3.2110260716657624E-3</v>
      </c>
      <c r="D221" s="2">
        <f t="shared" si="26"/>
        <v>38.276932600779787</v>
      </c>
      <c r="E221" s="3">
        <f t="shared" si="31"/>
        <v>100.89847868140362</v>
      </c>
      <c r="F221" cm="1">
        <f t="array" aca="1" ref="F221" ca="1">INDEX($O$2:$O$34,INT(A221/$Z$1)+1)</f>
        <v>104.07589976146878</v>
      </c>
      <c r="G221" cm="1">
        <f t="array" aca="1" ref="G221" ca="1">INDEX($O$2:$O$34,INT(A221/$Z$1)+2)</f>
        <v>100.34598547399466</v>
      </c>
      <c r="H221">
        <f t="shared" ca="1" si="27"/>
        <v>-0.11655982148356614</v>
      </c>
      <c r="I221">
        <f t="shared" ca="1" si="28"/>
        <v>-3.1471151800562858</v>
      </c>
      <c r="J221" s="3">
        <f t="shared" ca="1" si="29"/>
        <v>100.92878458141249</v>
      </c>
      <c r="K221" s="3">
        <f t="shared" ca="1" si="30"/>
        <v>-3.0305900008869457E-2</v>
      </c>
      <c r="L221" s="3"/>
    </row>
    <row r="222" spans="1:12" x14ac:dyDescent="0.3">
      <c r="A222">
        <v>220</v>
      </c>
      <c r="B222" s="2">
        <f t="shared" si="24"/>
        <v>2739.7260273972602</v>
      </c>
      <c r="C222" s="2">
        <f t="shared" si="25"/>
        <v>3.2116638107674987E-3</v>
      </c>
      <c r="D222" s="2">
        <f t="shared" si="26"/>
        <v>38.215092649914595</v>
      </c>
      <c r="E222" s="3">
        <f t="shared" si="31"/>
        <v>100.78716676984627</v>
      </c>
      <c r="F222" cm="1">
        <f t="array" aca="1" ref="F222" ca="1">INDEX($O$2:$O$34,INT(A222/$Z$1)+1)</f>
        <v>104.07589976146878</v>
      </c>
      <c r="G222" cm="1">
        <f t="array" aca="1" ref="G222" ca="1">INDEX($O$2:$O$34,INT(A222/$Z$1)+2)</f>
        <v>100.34598547399466</v>
      </c>
      <c r="H222">
        <f t="shared" ca="1" si="27"/>
        <v>-0.11655982148356614</v>
      </c>
      <c r="I222">
        <f t="shared" ca="1" si="28"/>
        <v>-3.2636750015398519</v>
      </c>
      <c r="J222" s="3">
        <f t="shared" ca="1" si="29"/>
        <v>100.81222475992892</v>
      </c>
      <c r="K222" s="3">
        <f t="shared" ca="1" si="30"/>
        <v>-2.5057990082657966E-2</v>
      </c>
      <c r="L222" s="3"/>
    </row>
    <row r="223" spans="1:12" x14ac:dyDescent="0.3">
      <c r="A223">
        <v>221</v>
      </c>
      <c r="B223" s="2">
        <f t="shared" si="24"/>
        <v>2755.6109725685787</v>
      </c>
      <c r="C223" s="2">
        <f t="shared" si="25"/>
        <v>3.2122994487060867E-3</v>
      </c>
      <c r="D223" s="2">
        <f t="shared" si="26"/>
        <v>38.153480876541494</v>
      </c>
      <c r="E223" s="3">
        <f t="shared" si="31"/>
        <v>100.67626557777469</v>
      </c>
      <c r="F223" cm="1">
        <f t="array" aca="1" ref="F223" ca="1">INDEX($O$2:$O$34,INT(A223/$Z$1)+1)</f>
        <v>104.07589976146878</v>
      </c>
      <c r="G223" cm="1">
        <f t="array" aca="1" ref="G223" ca="1">INDEX($O$2:$O$34,INT(A223/$Z$1)+2)</f>
        <v>100.34598547399466</v>
      </c>
      <c r="H223">
        <f t="shared" ca="1" si="27"/>
        <v>-0.11655982148356614</v>
      </c>
      <c r="I223">
        <f t="shared" ca="1" si="28"/>
        <v>-3.380234823023418</v>
      </c>
      <c r="J223" s="3">
        <f t="shared" ca="1" si="29"/>
        <v>100.69566493844536</v>
      </c>
      <c r="K223" s="3">
        <f t="shared" ca="1" si="30"/>
        <v>-1.9399360670675492E-2</v>
      </c>
      <c r="L223" s="3"/>
    </row>
    <row r="224" spans="1:12" x14ac:dyDescent="0.3">
      <c r="A224">
        <v>222</v>
      </c>
      <c r="B224" s="2">
        <f t="shared" si="24"/>
        <v>2771.5355805243444</v>
      </c>
      <c r="C224" s="2">
        <f t="shared" si="25"/>
        <v>3.2129330064188596E-3</v>
      </c>
      <c r="D224" s="2">
        <f t="shared" si="26"/>
        <v>38.092094996123706</v>
      </c>
      <c r="E224" s="3">
        <f t="shared" si="31"/>
        <v>100.56577099302267</v>
      </c>
      <c r="F224" cm="1">
        <f t="array" aca="1" ref="F224" ca="1">INDEX($O$2:$O$34,INT(A224/$Z$1)+1)</f>
        <v>104.07589976146878</v>
      </c>
      <c r="G224" cm="1">
        <f t="array" aca="1" ref="G224" ca="1">INDEX($O$2:$O$34,INT(A224/$Z$1)+2)</f>
        <v>100.34598547399466</v>
      </c>
      <c r="H224">
        <f t="shared" ca="1" si="27"/>
        <v>-0.11655982148356614</v>
      </c>
      <c r="I224">
        <f t="shared" ca="1" si="28"/>
        <v>-3.4967946445069842</v>
      </c>
      <c r="J224" s="3">
        <f t="shared" ca="1" si="29"/>
        <v>100.57910511696178</v>
      </c>
      <c r="K224" s="3">
        <f t="shared" ca="1" si="30"/>
        <v>-1.3334123939117148E-2</v>
      </c>
      <c r="L224" s="3"/>
    </row>
    <row r="225" spans="1:12" x14ac:dyDescent="0.3">
      <c r="A225">
        <v>223</v>
      </c>
      <c r="B225" s="2">
        <f t="shared" si="24"/>
        <v>2787.5</v>
      </c>
      <c r="C225" s="2">
        <f t="shared" si="25"/>
        <v>3.2135645045681801E-3</v>
      </c>
      <c r="D225" s="2">
        <f t="shared" si="26"/>
        <v>38.030932755035565</v>
      </c>
      <c r="E225" s="3">
        <f t="shared" si="31"/>
        <v>100.45567895906402</v>
      </c>
      <c r="F225" cm="1">
        <f t="array" aca="1" ref="F225" ca="1">INDEX($O$2:$O$34,INT(A225/$Z$1)+1)</f>
        <v>104.07589976146878</v>
      </c>
      <c r="G225" cm="1">
        <f t="array" aca="1" ref="G225" ca="1">INDEX($O$2:$O$34,INT(A225/$Z$1)+2)</f>
        <v>100.34598547399466</v>
      </c>
      <c r="H225">
        <f t="shared" ca="1" si="27"/>
        <v>-0.11655982148356614</v>
      </c>
      <c r="I225">
        <f t="shared" ca="1" si="28"/>
        <v>-3.6133544659905503</v>
      </c>
      <c r="J225" s="3">
        <f t="shared" ca="1" si="29"/>
        <v>100.46254529547822</v>
      </c>
      <c r="K225" s="3">
        <f t="shared" ca="1" si="30"/>
        <v>-6.8663364142054206E-3</v>
      </c>
      <c r="L225" s="3"/>
    </row>
    <row r="226" spans="1:12" x14ac:dyDescent="0.3">
      <c r="A226">
        <v>224</v>
      </c>
      <c r="B226" s="2">
        <f t="shared" si="24"/>
        <v>2803.5043804755946</v>
      </c>
      <c r="C226" s="2">
        <f t="shared" si="25"/>
        <v>3.2141939635463965E-3</v>
      </c>
      <c r="D226" s="2">
        <f t="shared" si="26"/>
        <v>37.969991929997036</v>
      </c>
      <c r="E226" s="3">
        <f t="shared" si="31"/>
        <v>100.34598547399466</v>
      </c>
      <c r="F226" cm="1">
        <f t="array" aca="1" ref="F226" ca="1">INDEX($O$2:$O$34,INT(A226/$Z$1)+1)</f>
        <v>100.34598547399466</v>
      </c>
      <c r="G226" cm="1">
        <f t="array" aca="1" ref="G226" ca="1">INDEX($O$2:$O$34,INT(A226/$Z$1)+2)</f>
        <v>97.024804270617651</v>
      </c>
      <c r="H226">
        <f t="shared" ca="1" si="27"/>
        <v>-0.10378691260553152</v>
      </c>
      <c r="I226">
        <f t="shared" ca="1" si="28"/>
        <v>0</v>
      </c>
      <c r="J226" s="3">
        <f t="shared" ca="1" si="29"/>
        <v>100.34598547399466</v>
      </c>
      <c r="K226" s="3">
        <f t="shared" ca="1" si="30"/>
        <v>0</v>
      </c>
      <c r="L226" s="3"/>
    </row>
    <row r="227" spans="1:12" x14ac:dyDescent="0.3">
      <c r="A227">
        <v>225</v>
      </c>
      <c r="B227" s="2">
        <f t="shared" si="24"/>
        <v>2819.5488721804513</v>
      </c>
      <c r="C227" s="2">
        <f t="shared" si="25"/>
        <v>3.2148214034806908E-3</v>
      </c>
      <c r="D227" s="2">
        <f t="shared" si="26"/>
        <v>37.909270327520801</v>
      </c>
      <c r="E227" s="3">
        <f t="shared" si="31"/>
        <v>100.23668658953744</v>
      </c>
      <c r="F227" cm="1">
        <f t="array" aca="1" ref="F227" ca="1">INDEX($O$2:$O$34,INT(A227/$Z$1)+1)</f>
        <v>100.34598547399466</v>
      </c>
      <c r="G227" cm="1">
        <f t="array" aca="1" ref="G227" ca="1">INDEX($O$2:$O$34,INT(A227/$Z$1)+2)</f>
        <v>97.024804270617651</v>
      </c>
      <c r="H227">
        <f t="shared" ca="1" si="27"/>
        <v>-0.10378691260553152</v>
      </c>
      <c r="I227">
        <f t="shared" ca="1" si="28"/>
        <v>-0.10378691260553152</v>
      </c>
      <c r="J227" s="3">
        <f t="shared" ca="1" si="29"/>
        <v>100.24219856138913</v>
      </c>
      <c r="K227" s="3">
        <f t="shared" ca="1" si="30"/>
        <v>-5.511971851689168E-3</v>
      </c>
      <c r="L227" s="3"/>
    </row>
    <row r="228" spans="1:12" x14ac:dyDescent="0.3">
      <c r="A228">
        <v>226</v>
      </c>
      <c r="B228" s="2">
        <f t="shared" si="24"/>
        <v>2835.6336260978669</v>
      </c>
      <c r="C228" s="2">
        <f t="shared" si="25"/>
        <v>3.2154468442378184E-3</v>
      </c>
      <c r="D228" s="2">
        <f t="shared" si="26"/>
        <v>37.848765783372073</v>
      </c>
      <c r="E228" s="3">
        <f t="shared" si="31"/>
        <v>100.12777841006974</v>
      </c>
      <c r="F228" cm="1">
        <f t="array" aca="1" ref="F228" ca="1">INDEX($O$2:$O$34,INT(A228/$Z$1)+1)</f>
        <v>100.34598547399466</v>
      </c>
      <c r="G228" cm="1">
        <f t="array" aca="1" ref="G228" ca="1">INDEX($O$2:$O$34,INT(A228/$Z$1)+2)</f>
        <v>97.024804270617651</v>
      </c>
      <c r="H228">
        <f t="shared" ca="1" si="27"/>
        <v>-0.10378691260553152</v>
      </c>
      <c r="I228">
        <f t="shared" ca="1" si="28"/>
        <v>-0.20757382521106305</v>
      </c>
      <c r="J228" s="3">
        <f t="shared" ca="1" si="29"/>
        <v>100.1384116487836</v>
      </c>
      <c r="K228" s="3">
        <f t="shared" ca="1" si="30"/>
        <v>-1.0633238713865012E-2</v>
      </c>
      <c r="L228" s="3"/>
    </row>
    <row r="229" spans="1:12" x14ac:dyDescent="0.3">
      <c r="A229">
        <v>227</v>
      </c>
      <c r="B229" s="2">
        <f t="shared" si="24"/>
        <v>2851.7587939698492</v>
      </c>
      <c r="C229" s="2">
        <f t="shared" si="25"/>
        <v>3.2160703054287462E-3</v>
      </c>
      <c r="D229" s="2">
        <f t="shared" si="26"/>
        <v>37.788476162039728</v>
      </c>
      <c r="E229" s="3">
        <f t="shared" si="31"/>
        <v>100.01925709167151</v>
      </c>
      <c r="F229" cm="1">
        <f t="array" aca="1" ref="F229" ca="1">INDEX($O$2:$O$34,INT(A229/$Z$1)+1)</f>
        <v>100.34598547399466</v>
      </c>
      <c r="G229" cm="1">
        <f t="array" aca="1" ref="G229" ca="1">INDEX($O$2:$O$34,INT(A229/$Z$1)+2)</f>
        <v>97.024804270617651</v>
      </c>
      <c r="H229">
        <f t="shared" ca="1" si="27"/>
        <v>-0.10378691260553152</v>
      </c>
      <c r="I229">
        <f t="shared" ca="1" si="28"/>
        <v>-0.31136073781659457</v>
      </c>
      <c r="J229" s="3">
        <f t="shared" ca="1" si="29"/>
        <v>100.03462473617806</v>
      </c>
      <c r="K229" s="3">
        <f t="shared" ca="1" si="30"/>
        <v>-1.5367644506554257E-2</v>
      </c>
      <c r="L229" s="3"/>
    </row>
    <row r="230" spans="1:12" x14ac:dyDescent="0.3">
      <c r="A230">
        <v>228</v>
      </c>
      <c r="B230" s="2">
        <f t="shared" si="24"/>
        <v>2867.9245283018868</v>
      </c>
      <c r="C230" s="2">
        <f t="shared" si="25"/>
        <v>3.2166918064131843E-3</v>
      </c>
      <c r="D230" s="2">
        <f t="shared" si="26"/>
        <v>37.72839935622045</v>
      </c>
      <c r="E230" s="3">
        <f t="shared" si="31"/>
        <v>99.91111884119681</v>
      </c>
      <c r="F230" cm="1">
        <f t="array" aca="1" ref="F230" ca="1">INDEX($O$2:$O$34,INT(A230/$Z$1)+1)</f>
        <v>100.34598547399466</v>
      </c>
      <c r="G230" cm="1">
        <f t="array" aca="1" ref="G230" ca="1">INDEX($O$2:$O$34,INT(A230/$Z$1)+2)</f>
        <v>97.024804270617651</v>
      </c>
      <c r="H230">
        <f t="shared" ca="1" si="27"/>
        <v>-0.10378691260553152</v>
      </c>
      <c r="I230">
        <f t="shared" ca="1" si="28"/>
        <v>-0.41514765042212609</v>
      </c>
      <c r="J230" s="3">
        <f t="shared" ca="1" si="29"/>
        <v>99.930837823572531</v>
      </c>
      <c r="K230" s="3">
        <f t="shared" ca="1" si="30"/>
        <v>-1.9718982375721339E-2</v>
      </c>
      <c r="L230" s="3"/>
    </row>
    <row r="231" spans="1:12" x14ac:dyDescent="0.3">
      <c r="A231">
        <v>229</v>
      </c>
      <c r="B231" s="2">
        <f t="shared" si="24"/>
        <v>2884.1309823677584</v>
      </c>
      <c r="C231" s="2">
        <f t="shared" si="25"/>
        <v>3.2173113663040219E-3</v>
      </c>
      <c r="D231" s="2">
        <f t="shared" si="26"/>
        <v>37.668533286313107</v>
      </c>
      <c r="E231" s="3">
        <f t="shared" si="31"/>
        <v>99.803359915363586</v>
      </c>
      <c r="F231" cm="1">
        <f t="array" aca="1" ref="F231" ca="1">INDEX($O$2:$O$34,INT(A231/$Z$1)+1)</f>
        <v>100.34598547399466</v>
      </c>
      <c r="G231" cm="1">
        <f t="array" aca="1" ref="G231" ca="1">INDEX($O$2:$O$34,INT(A231/$Z$1)+2)</f>
        <v>97.024804270617651</v>
      </c>
      <c r="H231">
        <f t="shared" ca="1" si="27"/>
        <v>-0.10378691260553152</v>
      </c>
      <c r="I231">
        <f t="shared" ca="1" si="28"/>
        <v>-0.51893456302765761</v>
      </c>
      <c r="J231" s="3">
        <f t="shared" ca="1" si="29"/>
        <v>99.827050910967003</v>
      </c>
      <c r="K231" s="3">
        <f t="shared" ca="1" si="30"/>
        <v>-2.3690995603416809E-2</v>
      </c>
      <c r="L231" s="3"/>
    </row>
    <row r="232" spans="1:12" x14ac:dyDescent="0.3">
      <c r="A232">
        <v>230</v>
      </c>
      <c r="B232" s="2">
        <f t="shared" si="24"/>
        <v>2900.3783102143757</v>
      </c>
      <c r="C232" s="2">
        <f t="shared" si="25"/>
        <v>3.2179290039716668E-3</v>
      </c>
      <c r="D232" s="2">
        <f t="shared" si="26"/>
        <v>37.608875899924897</v>
      </c>
      <c r="E232" s="3">
        <f t="shared" si="31"/>
        <v>99.695976619864808</v>
      </c>
      <c r="F232" cm="1">
        <f t="array" aca="1" ref="F232" ca="1">INDEX($O$2:$O$34,INT(A232/$Z$1)+1)</f>
        <v>100.34598547399466</v>
      </c>
      <c r="G232" cm="1">
        <f t="array" aca="1" ref="G232" ca="1">INDEX($O$2:$O$34,INT(A232/$Z$1)+2)</f>
        <v>97.024804270617651</v>
      </c>
      <c r="H232">
        <f t="shared" ca="1" si="27"/>
        <v>-0.10378691260553152</v>
      </c>
      <c r="I232">
        <f t="shared" ca="1" si="28"/>
        <v>-0.62272147563318914</v>
      </c>
      <c r="J232" s="3">
        <f t="shared" ca="1" si="29"/>
        <v>99.723263998361475</v>
      </c>
      <c r="K232" s="3">
        <f t="shared" ca="1" si="30"/>
        <v>-2.7287378496666292E-2</v>
      </c>
      <c r="L232" s="3"/>
    </row>
    <row r="233" spans="1:12" x14ac:dyDescent="0.3">
      <c r="A233">
        <v>231</v>
      </c>
      <c r="B233" s="2">
        <f t="shared" si="24"/>
        <v>2916.6666666666665</v>
      </c>
      <c r="C233" s="2">
        <f t="shared" si="25"/>
        <v>3.2185447380482899E-3</v>
      </c>
      <c r="D233" s="2">
        <f t="shared" si="26"/>
        <v>37.549425171388236</v>
      </c>
      <c r="E233" s="3">
        <f t="shared" si="31"/>
        <v>99.588965308498828</v>
      </c>
      <c r="F233" cm="1">
        <f t="array" aca="1" ref="F233" ca="1">INDEX($O$2:$O$34,INT(A233/$Z$1)+1)</f>
        <v>100.34598547399466</v>
      </c>
      <c r="G233" cm="1">
        <f t="array" aca="1" ref="G233" ca="1">INDEX($O$2:$O$34,INT(A233/$Z$1)+2)</f>
        <v>97.024804270617651</v>
      </c>
      <c r="H233">
        <f t="shared" ca="1" si="27"/>
        <v>-0.10378691260553152</v>
      </c>
      <c r="I233">
        <f t="shared" ca="1" si="28"/>
        <v>-0.72650838823872066</v>
      </c>
      <c r="J233" s="3">
        <f t="shared" ca="1" si="29"/>
        <v>99.619477085755932</v>
      </c>
      <c r="K233" s="3">
        <f t="shared" ca="1" si="30"/>
        <v>-3.0511777257103745E-2</v>
      </c>
      <c r="L233" s="3"/>
    </row>
    <row r="234" spans="1:12" x14ac:dyDescent="0.3">
      <c r="A234">
        <v>232</v>
      </c>
      <c r="B234" s="2">
        <f t="shared" si="24"/>
        <v>2932.9962073324905</v>
      </c>
      <c r="C234" s="2">
        <f t="shared" si="25"/>
        <v>3.2191585869319793E-3</v>
      </c>
      <c r="D234" s="2">
        <f t="shared" si="26"/>
        <v>37.490179101288277</v>
      </c>
      <c r="E234" s="3">
        <f t="shared" si="31"/>
        <v>99.482322382318898</v>
      </c>
      <c r="F234" cm="1">
        <f t="array" aca="1" ref="F234" ca="1">INDEX($O$2:$O$34,INT(A234/$Z$1)+1)</f>
        <v>100.34598547399466</v>
      </c>
      <c r="G234" cm="1">
        <f t="array" aca="1" ref="G234" ca="1">INDEX($O$2:$O$34,INT(A234/$Z$1)+2)</f>
        <v>97.024804270617651</v>
      </c>
      <c r="H234">
        <f t="shared" ca="1" si="27"/>
        <v>-0.10378691260553152</v>
      </c>
      <c r="I234">
        <f t="shared" ca="1" si="28"/>
        <v>-0.83029530084425218</v>
      </c>
      <c r="J234" s="3">
        <f t="shared" ca="1" si="29"/>
        <v>99.515690173150404</v>
      </c>
      <c r="K234" s="3">
        <f t="shared" ca="1" si="30"/>
        <v>-3.3367790831505317E-2</v>
      </c>
      <c r="L234" s="3"/>
    </row>
    <row r="235" spans="1:12" x14ac:dyDescent="0.3">
      <c r="A235">
        <v>233</v>
      </c>
      <c r="B235" s="2">
        <f t="shared" si="24"/>
        <v>2949.3670886075947</v>
      </c>
      <c r="C235" s="2">
        <f t="shared" si="25"/>
        <v>3.2197705687908029E-3</v>
      </c>
      <c r="D235" s="2">
        <f t="shared" si="26"/>
        <v>37.431135716000369</v>
      </c>
      <c r="E235" s="3">
        <f t="shared" si="31"/>
        <v>99.376044288800671</v>
      </c>
      <c r="F235" cm="1">
        <f t="array" aca="1" ref="F235" ca="1">INDEX($O$2:$O$34,INT(A235/$Z$1)+1)</f>
        <v>100.34598547399466</v>
      </c>
      <c r="G235" cm="1">
        <f t="array" aca="1" ref="G235" ca="1">INDEX($O$2:$O$34,INT(A235/$Z$1)+2)</f>
        <v>97.024804270617651</v>
      </c>
      <c r="H235">
        <f t="shared" ca="1" si="27"/>
        <v>-0.10378691260553152</v>
      </c>
      <c r="I235">
        <f t="shared" ca="1" si="28"/>
        <v>-0.9340822134497837</v>
      </c>
      <c r="J235" s="3">
        <f t="shared" ca="1" si="29"/>
        <v>99.411903260544875</v>
      </c>
      <c r="K235" s="3">
        <f t="shared" ca="1" si="30"/>
        <v>-3.5858971744204382E-2</v>
      </c>
      <c r="L235" s="3"/>
    </row>
    <row r="236" spans="1:12" x14ac:dyDescent="0.3">
      <c r="A236">
        <v>234</v>
      </c>
      <c r="B236" s="2">
        <f t="shared" si="24"/>
        <v>2965.7794676806084</v>
      </c>
      <c r="C236" s="2">
        <f t="shared" si="25"/>
        <v>3.2203807015667892E-3</v>
      </c>
      <c r="D236" s="2">
        <f t="shared" si="26"/>
        <v>37.37229306723799</v>
      </c>
      <c r="E236" s="3">
        <f t="shared" si="31"/>
        <v>99.270127521028385</v>
      </c>
      <c r="F236" cm="1">
        <f t="array" aca="1" ref="F236" ca="1">INDEX($O$2:$O$34,INT(A236/$Z$1)+1)</f>
        <v>100.34598547399466</v>
      </c>
      <c r="G236" cm="1">
        <f t="array" aca="1" ref="G236" ca="1">INDEX($O$2:$O$34,INT(A236/$Z$1)+2)</f>
        <v>97.024804270617651</v>
      </c>
      <c r="H236">
        <f t="shared" ca="1" si="27"/>
        <v>-0.10378691260553152</v>
      </c>
      <c r="I236">
        <f t="shared" ca="1" si="28"/>
        <v>-1.0378691260553152</v>
      </c>
      <c r="J236" s="3">
        <f t="shared" ca="1" si="29"/>
        <v>99.308116347939347</v>
      </c>
      <c r="K236" s="3">
        <f t="shared" ca="1" si="30"/>
        <v>-3.7988826910961393E-2</v>
      </c>
      <c r="L236" s="3"/>
    </row>
    <row r="237" spans="1:12" x14ac:dyDescent="0.3">
      <c r="A237">
        <v>235</v>
      </c>
      <c r="B237" s="2">
        <f t="shared" si="24"/>
        <v>2982.2335025380712</v>
      </c>
      <c r="C237" s="2">
        <f t="shared" si="25"/>
        <v>3.2209890029798165E-3</v>
      </c>
      <c r="D237" s="2">
        <f t="shared" si="26"/>
        <v>37.313649231610327</v>
      </c>
      <c r="E237" s="3">
        <f t="shared" si="31"/>
        <v>99.164568616898592</v>
      </c>
      <c r="F237" cm="1">
        <f t="array" aca="1" ref="F237" ca="1">INDEX($O$2:$O$34,INT(A237/$Z$1)+1)</f>
        <v>100.34598547399466</v>
      </c>
      <c r="G237" cm="1">
        <f t="array" aca="1" ref="G237" ca="1">INDEX($O$2:$O$34,INT(A237/$Z$1)+2)</f>
        <v>97.024804270617651</v>
      </c>
      <c r="H237">
        <f t="shared" ca="1" si="27"/>
        <v>-0.10378691260553152</v>
      </c>
      <c r="I237">
        <f t="shared" ca="1" si="28"/>
        <v>-1.1416560386608468</v>
      </c>
      <c r="J237" s="3">
        <f t="shared" ca="1" si="29"/>
        <v>99.204329435333818</v>
      </c>
      <c r="K237" s="3">
        <f t="shared" ca="1" si="30"/>
        <v>-3.9760818435226497E-2</v>
      </c>
      <c r="L237" s="3"/>
    </row>
    <row r="238" spans="1:12" x14ac:dyDescent="0.3">
      <c r="A238">
        <v>236</v>
      </c>
      <c r="B238" s="2">
        <f t="shared" si="24"/>
        <v>2998.7293519695045</v>
      </c>
      <c r="C238" s="2">
        <f t="shared" si="25"/>
        <v>3.221595490531427E-3</v>
      </c>
      <c r="D238" s="2">
        <f t="shared" si="26"/>
        <v>37.255202310188963</v>
      </c>
      <c r="E238" s="3">
        <f t="shared" si="31"/>
        <v>99.059364158340131</v>
      </c>
      <c r="F238" cm="1">
        <f t="array" aca="1" ref="F238" ca="1">INDEX($O$2:$O$34,INT(A238/$Z$1)+1)</f>
        <v>100.34598547399466</v>
      </c>
      <c r="G238" cm="1">
        <f t="array" aca="1" ref="G238" ca="1">INDEX($O$2:$O$34,INT(A238/$Z$1)+2)</f>
        <v>97.024804270617651</v>
      </c>
      <c r="H238">
        <f t="shared" ca="1" si="27"/>
        <v>-0.10378691260553152</v>
      </c>
      <c r="I238">
        <f t="shared" ca="1" si="28"/>
        <v>-1.2454429512663783</v>
      </c>
      <c r="J238" s="3">
        <f t="shared" ca="1" si="29"/>
        <v>99.100542522728276</v>
      </c>
      <c r="K238" s="3">
        <f t="shared" ca="1" si="30"/>
        <v>-4.1178364388144928E-2</v>
      </c>
      <c r="L238" s="3"/>
    </row>
    <row r="239" spans="1:12" x14ac:dyDescent="0.3">
      <c r="A239">
        <v>237</v>
      </c>
      <c r="B239" s="2">
        <f t="shared" si="24"/>
        <v>3015.2671755725191</v>
      </c>
      <c r="C239" s="2">
        <f t="shared" si="25"/>
        <v>3.2222001815085544E-3</v>
      </c>
      <c r="D239" s="2">
        <f t="shared" si="26"/>
        <v>37.196950428084449</v>
      </c>
      <c r="E239" s="3">
        <f t="shared" si="31"/>
        <v>98.954510770552005</v>
      </c>
      <c r="F239" cm="1">
        <f t="array" aca="1" ref="F239" ca="1">INDEX($O$2:$O$34,INT(A239/$Z$1)+1)</f>
        <v>100.34598547399466</v>
      </c>
      <c r="G239" cm="1">
        <f t="array" aca="1" ref="G239" ca="1">INDEX($O$2:$O$34,INT(A239/$Z$1)+2)</f>
        <v>97.024804270617651</v>
      </c>
      <c r="H239">
        <f t="shared" ca="1" si="27"/>
        <v>-0.10378691260553152</v>
      </c>
      <c r="I239">
        <f t="shared" ca="1" si="28"/>
        <v>-1.3492298638719098</v>
      </c>
      <c r="J239" s="3">
        <f t="shared" ca="1" si="29"/>
        <v>98.996755610122747</v>
      </c>
      <c r="K239" s="3">
        <f t="shared" ca="1" si="30"/>
        <v>-4.2244839570741988E-2</v>
      </c>
      <c r="L239" s="3"/>
    </row>
    <row r="240" spans="1:12" x14ac:dyDescent="0.3">
      <c r="A240">
        <v>238</v>
      </c>
      <c r="B240" s="2">
        <f t="shared" si="24"/>
        <v>3031.8471337579617</v>
      </c>
      <c r="C240" s="2">
        <f t="shared" si="25"/>
        <v>3.2228030929871781E-3</v>
      </c>
      <c r="D240" s="2">
        <f t="shared" si="26"/>
        <v>37.138891734031404</v>
      </c>
      <c r="E240" s="3">
        <f t="shared" si="31"/>
        <v>98.85000512125653</v>
      </c>
      <c r="F240" cm="1">
        <f t="array" aca="1" ref="F240" ca="1">INDEX($O$2:$O$34,INT(A240/$Z$1)+1)</f>
        <v>100.34598547399466</v>
      </c>
      <c r="G240" cm="1">
        <f t="array" aca="1" ref="G240" ca="1">INDEX($O$2:$O$34,INT(A240/$Z$1)+2)</f>
        <v>97.024804270617651</v>
      </c>
      <c r="H240">
        <f t="shared" ca="1" si="27"/>
        <v>-0.10378691260553152</v>
      </c>
      <c r="I240">
        <f t="shared" ca="1" si="28"/>
        <v>-1.4530167764774413</v>
      </c>
      <c r="J240" s="3">
        <f t="shared" ca="1" si="29"/>
        <v>98.892968697517219</v>
      </c>
      <c r="K240" s="3">
        <f t="shared" ca="1" si="30"/>
        <v>-4.2963576260689251E-2</v>
      </c>
      <c r="L240" s="3"/>
    </row>
    <row r="241" spans="1:12" x14ac:dyDescent="0.3">
      <c r="A241">
        <v>239</v>
      </c>
      <c r="B241" s="2">
        <f t="shared" si="24"/>
        <v>3048.4693877551022</v>
      </c>
      <c r="C241" s="2">
        <f t="shared" si="25"/>
        <v>3.2234042418358973E-3</v>
      </c>
      <c r="D241" s="2">
        <f t="shared" si="26"/>
        <v>37.081024399982709</v>
      </c>
      <c r="E241" s="3">
        <f t="shared" si="31"/>
        <v>98.745843919968877</v>
      </c>
      <c r="F241" cm="1">
        <f t="array" aca="1" ref="F241" ca="1">INDEX($O$2:$O$34,INT(A241/$Z$1)+1)</f>
        <v>100.34598547399466</v>
      </c>
      <c r="G241" cm="1">
        <f t="array" aca="1" ref="G241" ca="1">INDEX($O$2:$O$34,INT(A241/$Z$1)+2)</f>
        <v>97.024804270617651</v>
      </c>
      <c r="H241">
        <f t="shared" ca="1" si="27"/>
        <v>-0.10378691260553152</v>
      </c>
      <c r="I241">
        <f t="shared" ca="1" si="28"/>
        <v>-1.5568036890829728</v>
      </c>
      <c r="J241" s="3">
        <f t="shared" ca="1" si="29"/>
        <v>98.78918178491169</v>
      </c>
      <c r="K241" s="3">
        <f t="shared" ca="1" si="30"/>
        <v>-4.3337864942813553E-2</v>
      </c>
      <c r="L241" s="3"/>
    </row>
    <row r="242" spans="1:12" x14ac:dyDescent="0.3">
      <c r="A242">
        <v>240</v>
      </c>
      <c r="B242" s="2">
        <f t="shared" si="24"/>
        <v>3065.1340996168583</v>
      </c>
      <c r="C242" s="2">
        <f t="shared" si="25"/>
        <v>3.2240036447194324E-3</v>
      </c>
      <c r="D242" s="2">
        <f t="shared" si="26"/>
        <v>37.023346620712232</v>
      </c>
      <c r="E242" s="3">
        <f t="shared" si="31"/>
        <v>98.642023917282017</v>
      </c>
      <c r="F242" cm="1">
        <f t="array" aca="1" ref="F242" ca="1">INDEX($O$2:$O$34,INT(A242/$Z$1)+1)</f>
        <v>100.34598547399466</v>
      </c>
      <c r="G242" cm="1">
        <f t="array" aca="1" ref="G242" ca="1">INDEX($O$2:$O$34,INT(A242/$Z$1)+2)</f>
        <v>97.024804270617651</v>
      </c>
      <c r="H242">
        <f t="shared" ca="1" si="27"/>
        <v>-0.10378691260553152</v>
      </c>
      <c r="I242">
        <f t="shared" ca="1" si="28"/>
        <v>-1.6605906016885044</v>
      </c>
      <c r="J242" s="3">
        <f t="shared" ca="1" si="29"/>
        <v>98.685394872306148</v>
      </c>
      <c r="K242" s="3">
        <f t="shared" ca="1" si="30"/>
        <v>-4.3370955024130353E-2</v>
      </c>
      <c r="L242" s="3"/>
    </row>
    <row r="243" spans="1:12" x14ac:dyDescent="0.3">
      <c r="A243">
        <v>241</v>
      </c>
      <c r="B243" s="2">
        <f t="shared" si="24"/>
        <v>3081.8414322250637</v>
      </c>
      <c r="C243" s="2">
        <f t="shared" si="25"/>
        <v>3.2246013181020544E-3</v>
      </c>
      <c r="D243" s="2">
        <f t="shared" si="26"/>
        <v>36.965856613425672</v>
      </c>
      <c r="E243" s="3">
        <f t="shared" si="31"/>
        <v>98.538541904166209</v>
      </c>
      <c r="F243" cm="1">
        <f t="array" aca="1" ref="F243" ca="1">INDEX($O$2:$O$34,INT(A243/$Z$1)+1)</f>
        <v>100.34598547399466</v>
      </c>
      <c r="G243" cm="1">
        <f t="array" aca="1" ref="G243" ca="1">INDEX($O$2:$O$34,INT(A243/$Z$1)+2)</f>
        <v>97.024804270617651</v>
      </c>
      <c r="H243">
        <f t="shared" ca="1" si="27"/>
        <v>-0.10378691260553152</v>
      </c>
      <c r="I243">
        <f t="shared" ca="1" si="28"/>
        <v>-1.7643775142940359</v>
      </c>
      <c r="J243" s="3">
        <f t="shared" ca="1" si="29"/>
        <v>98.581607959700619</v>
      </c>
      <c r="K243" s="3">
        <f t="shared" ca="1" si="30"/>
        <v>-4.3066055534410452E-2</v>
      </c>
      <c r="L243" s="3"/>
    </row>
    <row r="244" spans="1:12" x14ac:dyDescent="0.3">
      <c r="A244">
        <v>242</v>
      </c>
      <c r="B244" s="2">
        <f t="shared" si="24"/>
        <v>3098.5915492957747</v>
      </c>
      <c r="C244" s="2">
        <f t="shared" si="25"/>
        <v>3.2251972782509431E-3</v>
      </c>
      <c r="D244" s="2">
        <f t="shared" si="26"/>
        <v>36.908552617379769</v>
      </c>
      <c r="E244" s="3">
        <f t="shared" si="31"/>
        <v>98.435394711283578</v>
      </c>
      <c r="F244" cm="1">
        <f t="array" aca="1" ref="F244" ca="1">INDEX($O$2:$O$34,INT(A244/$Z$1)+1)</f>
        <v>100.34598547399466</v>
      </c>
      <c r="G244" cm="1">
        <f t="array" aca="1" ref="G244" ca="1">INDEX($O$2:$O$34,INT(A244/$Z$1)+2)</f>
        <v>97.024804270617651</v>
      </c>
      <c r="H244">
        <f t="shared" ca="1" si="27"/>
        <v>-0.10378691260553152</v>
      </c>
      <c r="I244">
        <f t="shared" ca="1" si="28"/>
        <v>-1.8681644268995674</v>
      </c>
      <c r="J244" s="3">
        <f t="shared" ca="1" si="29"/>
        <v>98.477821047095091</v>
      </c>
      <c r="K244" s="3">
        <f t="shared" ca="1" si="30"/>
        <v>-4.2426335811512672E-2</v>
      </c>
      <c r="L244" s="3"/>
    </row>
    <row r="245" spans="1:12" x14ac:dyDescent="0.3">
      <c r="A245">
        <v>243</v>
      </c>
      <c r="B245" s="2">
        <f t="shared" si="24"/>
        <v>3115.3846153846152</v>
      </c>
      <c r="C245" s="2">
        <f t="shared" si="25"/>
        <v>3.2257915412394751E-3</v>
      </c>
      <c r="D245" s="2">
        <f t="shared" si="26"/>
        <v>36.851432893509582</v>
      </c>
      <c r="E245" s="3">
        <f t="shared" si="31"/>
        <v>98.332579208317242</v>
      </c>
      <c r="F245" cm="1">
        <f t="array" aca="1" ref="F245" ca="1">INDEX($O$2:$O$34,INT(A245/$Z$1)+1)</f>
        <v>100.34598547399466</v>
      </c>
      <c r="G245" cm="1">
        <f t="array" aca="1" ref="G245" ca="1">INDEX($O$2:$O$34,INT(A245/$Z$1)+2)</f>
        <v>97.024804270617651</v>
      </c>
      <c r="H245">
        <f t="shared" ca="1" si="27"/>
        <v>-0.10378691260553152</v>
      </c>
      <c r="I245">
        <f t="shared" ca="1" si="28"/>
        <v>-1.9719513395050989</v>
      </c>
      <c r="J245" s="3">
        <f t="shared" ca="1" si="29"/>
        <v>98.374034134489563</v>
      </c>
      <c r="K245" s="3">
        <f t="shared" ca="1" si="30"/>
        <v>-4.1454926172320938E-2</v>
      </c>
      <c r="L245" s="3"/>
    </row>
    <row r="246" spans="1:12" x14ac:dyDescent="0.3">
      <c r="A246">
        <v>244</v>
      </c>
      <c r="B246" s="2">
        <f t="shared" si="24"/>
        <v>3132.2207958921695</v>
      </c>
      <c r="C246" s="2">
        <f t="shared" si="25"/>
        <v>3.2263841229504455E-3</v>
      </c>
      <c r="D246" s="2">
        <f t="shared" si="26"/>
        <v>36.794495724063324</v>
      </c>
      <c r="E246" s="3">
        <f t="shared" si="31"/>
        <v>98.230092303313981</v>
      </c>
      <c r="F246" cm="1">
        <f t="array" aca="1" ref="F246" ca="1">INDEX($O$2:$O$34,INT(A246/$Z$1)+1)</f>
        <v>100.34598547399466</v>
      </c>
      <c r="G246" cm="1">
        <f t="array" aca="1" ref="G246" ca="1">INDEX($O$2:$O$34,INT(A246/$Z$1)+2)</f>
        <v>97.024804270617651</v>
      </c>
      <c r="H246">
        <f t="shared" ca="1" si="27"/>
        <v>-0.10378691260553152</v>
      </c>
      <c r="I246">
        <f t="shared" ca="1" si="28"/>
        <v>-2.0757382521106305</v>
      </c>
      <c r="J246" s="3">
        <f t="shared" ca="1" si="29"/>
        <v>98.270247221884034</v>
      </c>
      <c r="K246" s="3">
        <f t="shared" ca="1" si="30"/>
        <v>-4.0154918570053155E-2</v>
      </c>
      <c r="L246" s="3"/>
    </row>
    <row r="247" spans="1:12" x14ac:dyDescent="0.3">
      <c r="A247">
        <v>245</v>
      </c>
      <c r="B247" s="2">
        <f t="shared" si="24"/>
        <v>3149.1002570694086</v>
      </c>
      <c r="C247" s="2">
        <f t="shared" si="25"/>
        <v>3.2269750390792251E-3</v>
      </c>
      <c r="D247" s="2">
        <f t="shared" si="26"/>
        <v>36.737739412244366</v>
      </c>
      <c r="E247" s="3">
        <f t="shared" si="31"/>
        <v>98.127930942039853</v>
      </c>
      <c r="F247" cm="1">
        <f t="array" aca="1" ref="F247" ca="1">INDEX($O$2:$O$34,INT(A247/$Z$1)+1)</f>
        <v>100.34598547399466</v>
      </c>
      <c r="G247" cm="1">
        <f t="array" aca="1" ref="G247" ca="1">INDEX($O$2:$O$34,INT(A247/$Z$1)+2)</f>
        <v>97.024804270617651</v>
      </c>
      <c r="H247">
        <f t="shared" ca="1" si="27"/>
        <v>-0.10378691260553152</v>
      </c>
      <c r="I247">
        <f t="shared" ca="1" si="28"/>
        <v>-2.179525164716162</v>
      </c>
      <c r="J247" s="3">
        <f t="shared" ca="1" si="29"/>
        <v>98.166460309278492</v>
      </c>
      <c r="K247" s="3">
        <f t="shared" ca="1" si="30"/>
        <v>-3.8529367238638201E-2</v>
      </c>
      <c r="L247" s="3"/>
    </row>
    <row r="248" spans="1:12" x14ac:dyDescent="0.3">
      <c r="A248">
        <v>246</v>
      </c>
      <c r="B248" s="2">
        <f t="shared" si="24"/>
        <v>3166.0231660231661</v>
      </c>
      <c r="C248" s="2">
        <f t="shared" si="25"/>
        <v>3.2275643051368507E-3</v>
      </c>
      <c r="D248" s="2">
        <f t="shared" si="26"/>
        <v>36.681162281861759</v>
      </c>
      <c r="E248" s="3">
        <f t="shared" si="31"/>
        <v>98.026092107351161</v>
      </c>
      <c r="F248" cm="1">
        <f t="array" aca="1" ref="F248" ca="1">INDEX($O$2:$O$34,INT(A248/$Z$1)+1)</f>
        <v>100.34598547399466</v>
      </c>
      <c r="G248" cm="1">
        <f t="array" aca="1" ref="G248" ca="1">INDEX($O$2:$O$34,INT(A248/$Z$1)+2)</f>
        <v>97.024804270617651</v>
      </c>
      <c r="H248">
        <f t="shared" ca="1" si="27"/>
        <v>-0.10378691260553152</v>
      </c>
      <c r="I248">
        <f t="shared" ca="1" si="28"/>
        <v>-2.2833120773216935</v>
      </c>
      <c r="J248" s="3">
        <f t="shared" ca="1" si="29"/>
        <v>98.062673396672963</v>
      </c>
      <c r="K248" s="3">
        <f t="shared" ca="1" si="30"/>
        <v>-3.6581289321802046E-2</v>
      </c>
      <c r="L248" s="3"/>
    </row>
    <row r="249" spans="1:12" x14ac:dyDescent="0.3">
      <c r="A249">
        <v>247</v>
      </c>
      <c r="B249" s="2">
        <f t="shared" si="24"/>
        <v>3182.9896907216494</v>
      </c>
      <c r="C249" s="2">
        <f t="shared" si="25"/>
        <v>3.228151936453056E-3</v>
      </c>
      <c r="D249" s="2">
        <f t="shared" si="26"/>
        <v>36.624762676986563</v>
      </c>
      <c r="E249" s="3">
        <f t="shared" si="31"/>
        <v>97.924572818575811</v>
      </c>
      <c r="F249" cm="1">
        <f t="array" aca="1" ref="F249" ca="1">INDEX($O$2:$O$34,INT(A249/$Z$1)+1)</f>
        <v>100.34598547399466</v>
      </c>
      <c r="G249" cm="1">
        <f t="array" aca="1" ref="G249" ca="1">INDEX($O$2:$O$34,INT(A249/$Z$1)+2)</f>
        <v>97.024804270617651</v>
      </c>
      <c r="H249">
        <f t="shared" ca="1" si="27"/>
        <v>-0.10378691260553152</v>
      </c>
      <c r="I249">
        <f t="shared" ca="1" si="28"/>
        <v>-2.387098989927225</v>
      </c>
      <c r="J249" s="3">
        <f t="shared" ca="1" si="29"/>
        <v>97.958886484067435</v>
      </c>
      <c r="K249" s="3">
        <f t="shared" ca="1" si="30"/>
        <v>-3.4313665491623624E-2</v>
      </c>
      <c r="L249" s="3"/>
    </row>
    <row r="250" spans="1:12" x14ac:dyDescent="0.3">
      <c r="A250">
        <v>248</v>
      </c>
      <c r="B250" s="2">
        <f t="shared" si="24"/>
        <v>3200</v>
      </c>
      <c r="C250" s="2">
        <f t="shared" si="25"/>
        <v>3.2287379481792406E-3</v>
      </c>
      <c r="D250" s="2">
        <f t="shared" si="26"/>
        <v>36.568538961615957</v>
      </c>
      <c r="E250" s="3">
        <f t="shared" si="31"/>
        <v>97.823370130908728</v>
      </c>
      <c r="F250" cm="1">
        <f t="array" aca="1" ref="F250" ca="1">INDEX($O$2:$O$34,INT(A250/$Z$1)+1)</f>
        <v>100.34598547399466</v>
      </c>
      <c r="G250" cm="1">
        <f t="array" aca="1" ref="G250" ca="1">INDEX($O$2:$O$34,INT(A250/$Z$1)+2)</f>
        <v>97.024804270617651</v>
      </c>
      <c r="H250">
        <f t="shared" ca="1" si="27"/>
        <v>-0.10378691260553152</v>
      </c>
      <c r="I250">
        <f t="shared" ca="1" si="28"/>
        <v>-2.4908859025327565</v>
      </c>
      <c r="J250" s="3">
        <f t="shared" ca="1" si="29"/>
        <v>97.855099571461906</v>
      </c>
      <c r="K250" s="3">
        <f t="shared" ca="1" si="30"/>
        <v>-3.1729440553178279E-2</v>
      </c>
      <c r="L250" s="3"/>
    </row>
    <row r="251" spans="1:12" x14ac:dyDescent="0.3">
      <c r="A251">
        <v>249</v>
      </c>
      <c r="B251" s="2">
        <f t="shared" si="24"/>
        <v>3217.0542635658917</v>
      </c>
      <c r="C251" s="2">
        <f t="shared" si="25"/>
        <v>3.2293223552913768E-3</v>
      </c>
      <c r="D251" s="2">
        <f t="shared" si="26"/>
        <v>36.512489519344228</v>
      </c>
      <c r="E251" s="3">
        <f t="shared" si="31"/>
        <v>97.722481134819617</v>
      </c>
      <c r="F251" cm="1">
        <f t="array" aca="1" ref="F251" ca="1">INDEX($O$2:$O$34,INT(A251/$Z$1)+1)</f>
        <v>100.34598547399466</v>
      </c>
      <c r="G251" cm="1">
        <f t="array" aca="1" ref="G251" ca="1">INDEX($O$2:$O$34,INT(A251/$Z$1)+2)</f>
        <v>97.024804270617651</v>
      </c>
      <c r="H251">
        <f t="shared" ca="1" si="27"/>
        <v>-0.10378691260553152</v>
      </c>
      <c r="I251">
        <f t="shared" ca="1" si="28"/>
        <v>-2.5946728151382881</v>
      </c>
      <c r="J251" s="3">
        <f t="shared" ca="1" si="29"/>
        <v>97.751312658856378</v>
      </c>
      <c r="K251" s="3">
        <f t="shared" ca="1" si="30"/>
        <v>-2.8831524036760925E-2</v>
      </c>
      <c r="L251" s="3"/>
    </row>
    <row r="252" spans="1:12" x14ac:dyDescent="0.3">
      <c r="A252">
        <v>250</v>
      </c>
      <c r="B252" s="2">
        <f t="shared" si="24"/>
        <v>3234.1526520051748</v>
      </c>
      <c r="C252" s="2">
        <f t="shared" si="25"/>
        <v>3.2299051725928627E-3</v>
      </c>
      <c r="D252" s="2">
        <f t="shared" si="26"/>
        <v>36.456612753040247</v>
      </c>
      <c r="E252" s="3">
        <f t="shared" si="31"/>
        <v>97.62190295547245</v>
      </c>
      <c r="F252" cm="1">
        <f t="array" aca="1" ref="F252" ca="1">INDEX($O$2:$O$34,INT(A252/$Z$1)+1)</f>
        <v>100.34598547399466</v>
      </c>
      <c r="G252" cm="1">
        <f t="array" aca="1" ref="G252" ca="1">INDEX($O$2:$O$34,INT(A252/$Z$1)+2)</f>
        <v>97.024804270617651</v>
      </c>
      <c r="H252">
        <f t="shared" ca="1" si="27"/>
        <v>-0.10378691260553152</v>
      </c>
      <c r="I252">
        <f t="shared" ca="1" si="28"/>
        <v>-2.6984597277438196</v>
      </c>
      <c r="J252" s="3">
        <f t="shared" ca="1" si="29"/>
        <v>97.647525746250835</v>
      </c>
      <c r="K252" s="3">
        <f t="shared" ca="1" si="30"/>
        <v>-2.5622790778385252E-2</v>
      </c>
      <c r="L252" s="3"/>
    </row>
    <row r="253" spans="1:12" x14ac:dyDescent="0.3">
      <c r="A253">
        <v>251</v>
      </c>
      <c r="B253" s="2">
        <f t="shared" si="24"/>
        <v>3251.2953367875648</v>
      </c>
      <c r="C253" s="2">
        <f t="shared" si="25"/>
        <v>3.2304864147173155E-3</v>
      </c>
      <c r="D253" s="2">
        <f t="shared" si="26"/>
        <v>36.400907084531184</v>
      </c>
      <c r="E253" s="3">
        <f t="shared" si="31"/>
        <v>97.521632752156137</v>
      </c>
      <c r="F253" cm="1">
        <f t="array" aca="1" ref="F253" ca="1">INDEX($O$2:$O$34,INT(A253/$Z$1)+1)</f>
        <v>100.34598547399466</v>
      </c>
      <c r="G253" cm="1">
        <f t="array" aca="1" ref="G253" ca="1">INDEX($O$2:$O$34,INT(A253/$Z$1)+2)</f>
        <v>97.024804270617651</v>
      </c>
      <c r="H253">
        <f t="shared" ca="1" si="27"/>
        <v>-0.10378691260553152</v>
      </c>
      <c r="I253">
        <f t="shared" ca="1" si="28"/>
        <v>-2.8022466403493511</v>
      </c>
      <c r="J253" s="3">
        <f t="shared" ca="1" si="29"/>
        <v>97.543738833645307</v>
      </c>
      <c r="K253" s="3">
        <f t="shared" ca="1" si="30"/>
        <v>-2.2106081489170037E-2</v>
      </c>
      <c r="L253" s="3"/>
    </row>
    <row r="254" spans="1:12" x14ac:dyDescent="0.3">
      <c r="A254">
        <v>252</v>
      </c>
      <c r="B254" s="2">
        <f t="shared" si="24"/>
        <v>3268.4824902723735</v>
      </c>
      <c r="C254" s="2">
        <f t="shared" si="25"/>
        <v>3.231066096131312E-3</v>
      </c>
      <c r="D254" s="2">
        <f t="shared" si="26"/>
        <v>36.345370954293116</v>
      </c>
      <c r="E254" s="3">
        <f t="shared" si="31"/>
        <v>97.421667717727615</v>
      </c>
      <c r="F254" cm="1">
        <f t="array" aca="1" ref="F254" ca="1">INDEX($O$2:$O$34,INT(A254/$Z$1)+1)</f>
        <v>100.34598547399466</v>
      </c>
      <c r="G254" cm="1">
        <f t="array" aca="1" ref="G254" ca="1">INDEX($O$2:$O$34,INT(A254/$Z$1)+2)</f>
        <v>97.024804270617651</v>
      </c>
      <c r="H254">
        <f t="shared" ca="1" si="27"/>
        <v>-0.10378691260553152</v>
      </c>
      <c r="I254">
        <f t="shared" ca="1" si="28"/>
        <v>-2.9060335529548826</v>
      </c>
      <c r="J254" s="3">
        <f t="shared" ca="1" si="29"/>
        <v>97.439951921039778</v>
      </c>
      <c r="K254" s="3">
        <f t="shared" ca="1" si="30"/>
        <v>-1.8284203312163072E-2</v>
      </c>
      <c r="L254" s="3"/>
    </row>
    <row r="255" spans="1:12" x14ac:dyDescent="0.3">
      <c r="A255">
        <v>253</v>
      </c>
      <c r="B255" s="2">
        <f t="shared" si="24"/>
        <v>3285.7142857142858</v>
      </c>
      <c r="C255" s="2">
        <f t="shared" si="25"/>
        <v>3.231644231137071E-3</v>
      </c>
      <c r="D255" s="2">
        <f t="shared" si="26"/>
        <v>36.290002821147425</v>
      </c>
      <c r="E255" s="3">
        <f t="shared" si="31"/>
        <v>97.322005078065359</v>
      </c>
      <c r="F255" cm="1">
        <f t="array" aca="1" ref="F255" ca="1">INDEX($O$2:$O$34,INT(A255/$Z$1)+1)</f>
        <v>100.34598547399466</v>
      </c>
      <c r="G255" cm="1">
        <f t="array" aca="1" ref="G255" ca="1">INDEX($O$2:$O$34,INT(A255/$Z$1)+2)</f>
        <v>97.024804270617651</v>
      </c>
      <c r="H255">
        <f t="shared" ca="1" si="27"/>
        <v>-0.10378691260553152</v>
      </c>
      <c r="I255">
        <f t="shared" ca="1" si="28"/>
        <v>-3.0098204655604142</v>
      </c>
      <c r="J255" s="3">
        <f t="shared" ca="1" si="29"/>
        <v>97.33616500843425</v>
      </c>
      <c r="K255" s="3">
        <f t="shared" ca="1" si="30"/>
        <v>-1.4159930368890628E-2</v>
      </c>
      <c r="L255" s="3"/>
    </row>
    <row r="256" spans="1:12" x14ac:dyDescent="0.3">
      <c r="A256">
        <v>254</v>
      </c>
      <c r="B256" s="2">
        <f t="shared" si="24"/>
        <v>3302.9908972691806</v>
      </c>
      <c r="C256" s="2">
        <f t="shared" si="25"/>
        <v>3.2322208338750888E-3</v>
      </c>
      <c r="D256" s="2">
        <f t="shared" si="26"/>
        <v>36.234801161963446</v>
      </c>
      <c r="E256" s="3">
        <f t="shared" si="31"/>
        <v>97.222642091534198</v>
      </c>
      <c r="F256" cm="1">
        <f t="array" aca="1" ref="F256" ca="1">INDEX($O$2:$O$34,INT(A256/$Z$1)+1)</f>
        <v>100.34598547399466</v>
      </c>
      <c r="G256" cm="1">
        <f t="array" aca="1" ref="G256" ca="1">INDEX($O$2:$O$34,INT(A256/$Z$1)+2)</f>
        <v>97.024804270617651</v>
      </c>
      <c r="H256">
        <f t="shared" ca="1" si="27"/>
        <v>-0.10378691260553152</v>
      </c>
      <c r="I256">
        <f t="shared" ca="1" si="28"/>
        <v>-3.1136073781659457</v>
      </c>
      <c r="J256" s="3">
        <f t="shared" ca="1" si="29"/>
        <v>97.232378095828707</v>
      </c>
      <c r="K256" s="3">
        <f t="shared" ca="1" si="30"/>
        <v>-9.7360042945098257E-3</v>
      </c>
      <c r="L256" s="3"/>
    </row>
    <row r="257" spans="1:12" x14ac:dyDescent="0.3">
      <c r="A257">
        <v>255</v>
      </c>
      <c r="B257" s="2">
        <f t="shared" si="24"/>
        <v>3320.3125</v>
      </c>
      <c r="C257" s="2">
        <f t="shared" si="25"/>
        <v>3.2327959183267186E-3</v>
      </c>
      <c r="D257" s="2">
        <f t="shared" si="26"/>
        <v>36.179764471366866</v>
      </c>
      <c r="E257" s="3">
        <f t="shared" si="31"/>
        <v>97.123576048460365</v>
      </c>
      <c r="F257" cm="1">
        <f t="array" aca="1" ref="F257" ca="1">INDEX($O$2:$O$34,INT(A257/$Z$1)+1)</f>
        <v>100.34598547399466</v>
      </c>
      <c r="G257" cm="1">
        <f t="array" aca="1" ref="G257" ca="1">INDEX($O$2:$O$34,INT(A257/$Z$1)+2)</f>
        <v>97.024804270617651</v>
      </c>
      <c r="H257">
        <f t="shared" ca="1" si="27"/>
        <v>-0.10378691260553152</v>
      </c>
      <c r="I257">
        <f t="shared" ca="1" si="28"/>
        <v>-3.2173942907714772</v>
      </c>
      <c r="J257" s="3">
        <f t="shared" ca="1" si="29"/>
        <v>97.128591183223179</v>
      </c>
      <c r="K257" s="3">
        <f t="shared" ca="1" si="30"/>
        <v>-5.0151347628144549E-3</v>
      </c>
      <c r="L257" s="3"/>
    </row>
    <row r="258" spans="1:12" x14ac:dyDescent="0.3">
      <c r="A258">
        <v>256</v>
      </c>
      <c r="B258" s="2">
        <f t="shared" ref="B258:B321" si="32">$T$1*A258/($V$1-A258)</f>
        <v>3337.6792698826598</v>
      </c>
      <c r="C258" s="2">
        <f t="shared" ref="C258:C321" si="33">LOG(B258/$T$2)/$T$3 + (1/$X$2)</f>
        <v>3.2333694983166994E-3</v>
      </c>
      <c r="D258" s="2">
        <f t="shared" ref="D258:D321" si="34">1/C258 - 273.15</f>
        <v>36.124891261454252</v>
      </c>
      <c r="E258" s="3">
        <f t="shared" si="31"/>
        <v>97.024804270617651</v>
      </c>
      <c r="F258" cm="1">
        <f t="array" aca="1" ref="F258" ca="1">INDEX($O$2:$O$34,INT(A258/$Z$1)+1)</f>
        <v>97.024804270617651</v>
      </c>
      <c r="G258" cm="1">
        <f t="array" aca="1" ref="G258" ca="1">INDEX($O$2:$O$34,INT(A258/$Z$1)+2)</f>
        <v>94.004926908209967</v>
      </c>
      <c r="H258">
        <f t="shared" ca="1" si="27"/>
        <v>-9.4371167575240111E-2</v>
      </c>
      <c r="I258">
        <f t="shared" ca="1" si="28"/>
        <v>0</v>
      </c>
      <c r="J258" s="3">
        <f t="shared" ca="1" si="29"/>
        <v>97.024804270617651</v>
      </c>
      <c r="K258" s="3">
        <f t="shared" ca="1" si="30"/>
        <v>0</v>
      </c>
      <c r="L258" s="3"/>
    </row>
    <row r="259" spans="1:12" x14ac:dyDescent="0.3">
      <c r="A259">
        <v>257</v>
      </c>
      <c r="B259" s="2">
        <f t="shared" si="32"/>
        <v>3355.0913838120105</v>
      </c>
      <c r="C259" s="2">
        <f t="shared" si="33"/>
        <v>3.2339415875156418E-3</v>
      </c>
      <c r="D259" s="2">
        <f t="shared" si="34"/>
        <v>36.070180061512417</v>
      </c>
      <c r="E259" s="3">
        <f t="shared" si="31"/>
        <v>96.926324110722348</v>
      </c>
      <c r="F259" cm="1">
        <f t="array" aca="1" ref="F259" ca="1">INDEX($O$2:$O$34,INT(A259/$Z$1)+1)</f>
        <v>97.024804270617651</v>
      </c>
      <c r="G259" cm="1">
        <f t="array" aca="1" ref="G259" ca="1">INDEX($O$2:$O$34,INT(A259/$Z$1)+2)</f>
        <v>94.004926908209967</v>
      </c>
      <c r="H259">
        <f t="shared" ref="H259:H322" ca="1" si="35">(G259-F259)/$Z$1</f>
        <v>-9.4371167575240111E-2</v>
      </c>
      <c r="I259">
        <f t="shared" ref="I259:I322" ca="1" si="36">H259*MOD(A259,$Z$1)</f>
        <v>-9.4371167575240111E-2</v>
      </c>
      <c r="J259" s="3">
        <f t="shared" ref="J259:J322" ca="1" si="37">F259+I259</f>
        <v>96.930433103042404</v>
      </c>
      <c r="K259" s="3">
        <f t="shared" ref="K259:K322" ca="1" si="38">E259-J259</f>
        <v>-4.1089923200559042E-3</v>
      </c>
      <c r="L259" s="3"/>
    </row>
    <row r="260" spans="1:12" x14ac:dyDescent="0.3">
      <c r="A260">
        <v>258</v>
      </c>
      <c r="B260" s="2">
        <f t="shared" si="32"/>
        <v>3372.5490196078431</v>
      </c>
      <c r="C260" s="2">
        <f t="shared" si="33"/>
        <v>3.2345121994424575E-3</v>
      </c>
      <c r="D260" s="2">
        <f t="shared" si="34"/>
        <v>36.015629417744378</v>
      </c>
      <c r="E260" s="3">
        <f t="shared" ref="E260:E323" si="39">D260*9/5 + 32</f>
        <v>96.828132951939878</v>
      </c>
      <c r="F260" cm="1">
        <f t="array" aca="1" ref="F260" ca="1">INDEX($O$2:$O$34,INT(A260/$Z$1)+1)</f>
        <v>97.024804270617651</v>
      </c>
      <c r="G260" cm="1">
        <f t="array" aca="1" ref="G260" ca="1">INDEX($O$2:$O$34,INT(A260/$Z$1)+2)</f>
        <v>94.004926908209967</v>
      </c>
      <c r="H260">
        <f t="shared" ca="1" si="35"/>
        <v>-9.4371167575240111E-2</v>
      </c>
      <c r="I260">
        <f t="shared" ca="1" si="36"/>
        <v>-0.18874233515048022</v>
      </c>
      <c r="J260" s="3">
        <f t="shared" ca="1" si="37"/>
        <v>96.836061935467171</v>
      </c>
      <c r="K260" s="3">
        <f t="shared" ca="1" si="38"/>
        <v>-7.9289835272930986E-3</v>
      </c>
      <c r="L260" s="3"/>
    </row>
    <row r="261" spans="1:12" x14ac:dyDescent="0.3">
      <c r="A261">
        <v>259</v>
      </c>
      <c r="B261" s="2">
        <f t="shared" si="32"/>
        <v>3390.0523560209426</v>
      </c>
      <c r="C261" s="2">
        <f t="shared" si="33"/>
        <v>3.2350813474667484E-3</v>
      </c>
      <c r="D261" s="2">
        <f t="shared" si="34"/>
        <v>35.961237892999691</v>
      </c>
      <c r="E261" s="3">
        <f t="shared" si="39"/>
        <v>96.730228207399449</v>
      </c>
      <c r="F261" cm="1">
        <f t="array" aca="1" ref="F261" ca="1">INDEX($O$2:$O$34,INT(A261/$Z$1)+1)</f>
        <v>97.024804270617651</v>
      </c>
      <c r="G261" cm="1">
        <f t="array" aca="1" ref="G261" ca="1">INDEX($O$2:$O$34,INT(A261/$Z$1)+2)</f>
        <v>94.004926908209967</v>
      </c>
      <c r="H261">
        <f t="shared" ca="1" si="35"/>
        <v>-9.4371167575240111E-2</v>
      </c>
      <c r="I261">
        <f t="shared" ca="1" si="36"/>
        <v>-0.28311350272572033</v>
      </c>
      <c r="J261" s="3">
        <f t="shared" ca="1" si="37"/>
        <v>96.741690767891924</v>
      </c>
      <c r="K261" s="3">
        <f t="shared" ca="1" si="38"/>
        <v>-1.1462560492475404E-2</v>
      </c>
      <c r="L261" s="3"/>
    </row>
    <row r="262" spans="1:12" x14ac:dyDescent="0.3">
      <c r="A262">
        <v>260</v>
      </c>
      <c r="B262" s="2">
        <f t="shared" si="32"/>
        <v>3407.6015727391873</v>
      </c>
      <c r="C262" s="2">
        <f t="shared" si="33"/>
        <v>3.2356490448111476E-3</v>
      </c>
      <c r="D262" s="2">
        <f t="shared" si="34"/>
        <v>35.907004066510638</v>
      </c>
      <c r="E262" s="3">
        <f t="shared" si="39"/>
        <v>96.632607319719142</v>
      </c>
      <c r="F262" cm="1">
        <f t="array" aca="1" ref="F262" ca="1">INDEX($O$2:$O$34,INT(A262/$Z$1)+1)</f>
        <v>97.024804270617651</v>
      </c>
      <c r="G262" cm="1">
        <f t="array" aca="1" ref="G262" ca="1">INDEX($O$2:$O$34,INT(A262/$Z$1)+2)</f>
        <v>94.004926908209967</v>
      </c>
      <c r="H262">
        <f t="shared" ca="1" si="35"/>
        <v>-9.4371167575240111E-2</v>
      </c>
      <c r="I262">
        <f t="shared" ca="1" si="36"/>
        <v>-0.37748467030096045</v>
      </c>
      <c r="J262" s="3">
        <f t="shared" ca="1" si="37"/>
        <v>96.647319600316692</v>
      </c>
      <c r="K262" s="3">
        <f t="shared" ca="1" si="38"/>
        <v>-1.471228059754992E-2</v>
      </c>
      <c r="L262" s="3"/>
    </row>
    <row r="263" spans="1:12" x14ac:dyDescent="0.3">
      <c r="A263">
        <v>261</v>
      </c>
      <c r="B263" s="2">
        <f t="shared" si="32"/>
        <v>3425.196850393701</v>
      </c>
      <c r="C263" s="2">
        <f t="shared" si="33"/>
        <v>3.2362153045536139E-3</v>
      </c>
      <c r="D263" s="2">
        <f t="shared" si="34"/>
        <v>35.852926533633308</v>
      </c>
      <c r="E263" s="3">
        <f t="shared" si="39"/>
        <v>96.535267760539952</v>
      </c>
      <c r="F263" cm="1">
        <f t="array" aca="1" ref="F263" ca="1">INDEX($O$2:$O$34,INT(A263/$Z$1)+1)</f>
        <v>97.024804270617651</v>
      </c>
      <c r="G263" cm="1">
        <f t="array" aca="1" ref="G263" ca="1">INDEX($O$2:$O$34,INT(A263/$Z$1)+2)</f>
        <v>94.004926908209967</v>
      </c>
      <c r="H263">
        <f t="shared" ca="1" si="35"/>
        <v>-9.4371167575240111E-2</v>
      </c>
      <c r="I263">
        <f t="shared" ca="1" si="36"/>
        <v>-0.47185583787620056</v>
      </c>
      <c r="J263" s="3">
        <f t="shared" ca="1" si="37"/>
        <v>96.552948432741445</v>
      </c>
      <c r="K263" s="3">
        <f t="shared" ca="1" si="38"/>
        <v>-1.7680672201493053E-2</v>
      </c>
      <c r="L263" s="3"/>
    </row>
    <row r="264" spans="1:12" x14ac:dyDescent="0.3">
      <c r="A264">
        <v>262</v>
      </c>
      <c r="B264" s="2">
        <f t="shared" si="32"/>
        <v>3442.8383705650458</v>
      </c>
      <c r="C264" s="2">
        <f t="shared" si="33"/>
        <v>3.2367801396296879E-3</v>
      </c>
      <c r="D264" s="2">
        <f t="shared" si="34"/>
        <v>35.799003905593565</v>
      </c>
      <c r="E264" s="3">
        <f t="shared" si="39"/>
        <v>96.438207030068412</v>
      </c>
      <c r="F264" cm="1">
        <f t="array" aca="1" ref="F264" ca="1">INDEX($O$2:$O$34,INT(A264/$Z$1)+1)</f>
        <v>97.024804270617651</v>
      </c>
      <c r="G264" cm="1">
        <f t="array" aca="1" ref="G264" ca="1">INDEX($O$2:$O$34,INT(A264/$Z$1)+2)</f>
        <v>94.004926908209967</v>
      </c>
      <c r="H264">
        <f t="shared" ca="1" si="35"/>
        <v>-9.4371167575240111E-2</v>
      </c>
      <c r="I264">
        <f t="shared" ca="1" si="36"/>
        <v>-0.56622700545144067</v>
      </c>
      <c r="J264" s="3">
        <f t="shared" ca="1" si="37"/>
        <v>96.458577265166213</v>
      </c>
      <c r="K264" s="3">
        <f t="shared" ca="1" si="38"/>
        <v>-2.037023509780056E-2</v>
      </c>
      <c r="L264" s="3"/>
    </row>
    <row r="265" spans="1:12" x14ac:dyDescent="0.3">
      <c r="A265">
        <v>263</v>
      </c>
      <c r="B265" s="2">
        <f t="shared" si="32"/>
        <v>3460.5263157894738</v>
      </c>
      <c r="C265" s="2">
        <f t="shared" si="33"/>
        <v>3.2373435628346992E-3</v>
      </c>
      <c r="D265" s="2">
        <f t="shared" si="34"/>
        <v>35.745234809238184</v>
      </c>
      <c r="E265" s="3">
        <f t="shared" si="39"/>
        <v>96.341422656628737</v>
      </c>
      <c r="F265" cm="1">
        <f t="array" aca="1" ref="F265" ca="1">INDEX($O$2:$O$34,INT(A265/$Z$1)+1)</f>
        <v>97.024804270617651</v>
      </c>
      <c r="G265" cm="1">
        <f t="array" aca="1" ref="G265" ca="1">INDEX($O$2:$O$34,INT(A265/$Z$1)+2)</f>
        <v>94.004926908209967</v>
      </c>
      <c r="H265">
        <f t="shared" ca="1" si="35"/>
        <v>-9.4371167575240111E-2</v>
      </c>
      <c r="I265">
        <f t="shared" ca="1" si="36"/>
        <v>-0.66059817302668078</v>
      </c>
      <c r="J265" s="3">
        <f t="shared" ca="1" si="37"/>
        <v>96.364206097590966</v>
      </c>
      <c r="K265" s="3">
        <f t="shared" ca="1" si="38"/>
        <v>-2.2783440962228951E-2</v>
      </c>
      <c r="L265" s="3"/>
    </row>
    <row r="266" spans="1:12" x14ac:dyDescent="0.3">
      <c r="A266">
        <v>264</v>
      </c>
      <c r="B266" s="2">
        <f t="shared" si="32"/>
        <v>3478.2608695652175</v>
      </c>
      <c r="C266" s="2">
        <f t="shared" si="33"/>
        <v>3.2379055868259356E-3</v>
      </c>
      <c r="D266" s="2">
        <f t="shared" si="34"/>
        <v>35.691617886790596</v>
      </c>
      <c r="E266" s="3">
        <f t="shared" si="39"/>
        <v>96.244912196223069</v>
      </c>
      <c r="F266" cm="1">
        <f t="array" aca="1" ref="F266" ca="1">INDEX($O$2:$O$34,INT(A266/$Z$1)+1)</f>
        <v>97.024804270617651</v>
      </c>
      <c r="G266" cm="1">
        <f t="array" aca="1" ref="G266" ca="1">INDEX($O$2:$O$34,INT(A266/$Z$1)+2)</f>
        <v>94.004926908209967</v>
      </c>
      <c r="H266">
        <f t="shared" ca="1" si="35"/>
        <v>-9.4371167575240111E-2</v>
      </c>
      <c r="I266">
        <f t="shared" ca="1" si="36"/>
        <v>-0.75496934060192089</v>
      </c>
      <c r="J266" s="3">
        <f t="shared" ca="1" si="37"/>
        <v>96.269834930015733</v>
      </c>
      <c r="K266" s="3">
        <f t="shared" ca="1" si="38"/>
        <v>-2.4922733792664076E-2</v>
      </c>
      <c r="L266" s="3"/>
    </row>
    <row r="267" spans="1:12" x14ac:dyDescent="0.3">
      <c r="A267">
        <v>265</v>
      </c>
      <c r="B267" s="2">
        <f t="shared" si="32"/>
        <v>3496.0422163588391</v>
      </c>
      <c r="C267" s="2">
        <f t="shared" si="33"/>
        <v>3.2384662241247719E-3</v>
      </c>
      <c r="D267" s="2">
        <f t="shared" si="34"/>
        <v>35.638151795611236</v>
      </c>
      <c r="E267" s="3">
        <f t="shared" si="39"/>
        <v>96.148673232100222</v>
      </c>
      <c r="F267" cm="1">
        <f t="array" aca="1" ref="F267" ca="1">INDEX($O$2:$O$34,INT(A267/$Z$1)+1)</f>
        <v>97.024804270617651</v>
      </c>
      <c r="G267" cm="1">
        <f t="array" aca="1" ref="G267" ca="1">INDEX($O$2:$O$34,INT(A267/$Z$1)+2)</f>
        <v>94.004926908209967</v>
      </c>
      <c r="H267">
        <f t="shared" ca="1" si="35"/>
        <v>-9.4371167575240111E-2</v>
      </c>
      <c r="I267">
        <f t="shared" ca="1" si="36"/>
        <v>-0.849340508177161</v>
      </c>
      <c r="J267" s="3">
        <f t="shared" ca="1" si="37"/>
        <v>96.175463762440486</v>
      </c>
      <c r="K267" s="3">
        <f t="shared" ca="1" si="38"/>
        <v>-2.679053034026424E-2</v>
      </c>
      <c r="L267" s="3"/>
    </row>
    <row r="268" spans="1:12" x14ac:dyDescent="0.3">
      <c r="A268">
        <v>266</v>
      </c>
      <c r="B268" s="2">
        <f t="shared" si="32"/>
        <v>3513.870541611625</v>
      </c>
      <c r="C268" s="2">
        <f t="shared" si="33"/>
        <v>3.2390254871187568E-3</v>
      </c>
      <c r="D268" s="2">
        <f t="shared" si="34"/>
        <v>35.584835207962556</v>
      </c>
      <c r="E268" s="3">
        <f t="shared" si="39"/>
        <v>96.052703374332594</v>
      </c>
      <c r="F268" cm="1">
        <f t="array" aca="1" ref="F268" ca="1">INDEX($O$2:$O$34,INT(A268/$Z$1)+1)</f>
        <v>97.024804270617651</v>
      </c>
      <c r="G268" cm="1">
        <f t="array" aca="1" ref="G268" ca="1">INDEX($O$2:$O$34,INT(A268/$Z$1)+2)</f>
        <v>94.004926908209967</v>
      </c>
      <c r="H268">
        <f t="shared" ca="1" si="35"/>
        <v>-9.4371167575240111E-2</v>
      </c>
      <c r="I268">
        <f t="shared" ca="1" si="36"/>
        <v>-0.94371167575240111</v>
      </c>
      <c r="J268" s="3">
        <f t="shared" ca="1" si="37"/>
        <v>96.081092594865254</v>
      </c>
      <c r="K268" s="3">
        <f t="shared" ca="1" si="38"/>
        <v>-2.8389220532659465E-2</v>
      </c>
      <c r="L268" s="3"/>
    </row>
    <row r="269" spans="1:12" x14ac:dyDescent="0.3">
      <c r="A269">
        <v>267</v>
      </c>
      <c r="B269" s="2">
        <f t="shared" si="32"/>
        <v>3531.7460317460318</v>
      </c>
      <c r="C269" s="2">
        <f t="shared" si="33"/>
        <v>3.2395833880636618E-3</v>
      </c>
      <c r="D269" s="2">
        <f t="shared" si="34"/>
        <v>35.531666810778461</v>
      </c>
      <c r="E269" s="3">
        <f t="shared" si="39"/>
        <v>95.957000259401227</v>
      </c>
      <c r="F269" cm="1">
        <f t="array" aca="1" ref="F269" ca="1">INDEX($O$2:$O$34,INT(A269/$Z$1)+1)</f>
        <v>97.024804270617651</v>
      </c>
      <c r="G269" cm="1">
        <f t="array" aca="1" ref="G269" ca="1">INDEX($O$2:$O$34,INT(A269/$Z$1)+2)</f>
        <v>94.004926908209967</v>
      </c>
      <c r="H269">
        <f t="shared" ca="1" si="35"/>
        <v>-9.4371167575240111E-2</v>
      </c>
      <c r="I269">
        <f t="shared" ca="1" si="36"/>
        <v>-1.0380828433276412</v>
      </c>
      <c r="J269" s="3">
        <f t="shared" ca="1" si="37"/>
        <v>95.986721427290007</v>
      </c>
      <c r="K269" s="3">
        <f t="shared" ca="1" si="38"/>
        <v>-2.9721167888780542E-2</v>
      </c>
      <c r="L269" s="3"/>
    </row>
    <row r="270" spans="1:12" x14ac:dyDescent="0.3">
      <c r="A270">
        <v>268</v>
      </c>
      <c r="B270" s="2">
        <f t="shared" si="32"/>
        <v>3549.6688741721855</v>
      </c>
      <c r="C270" s="2">
        <f t="shared" si="33"/>
        <v>3.2401399390854925E-3</v>
      </c>
      <c r="D270" s="2">
        <f t="shared" si="34"/>
        <v>35.478645305438022</v>
      </c>
      <c r="E270" s="3">
        <f t="shared" si="39"/>
        <v>95.861561549788433</v>
      </c>
      <c r="F270" cm="1">
        <f t="array" aca="1" ref="F270" ca="1">INDEX($O$2:$O$34,INT(A270/$Z$1)+1)</f>
        <v>97.024804270617651</v>
      </c>
      <c r="G270" cm="1">
        <f t="array" aca="1" ref="G270" ca="1">INDEX($O$2:$O$34,INT(A270/$Z$1)+2)</f>
        <v>94.004926908209967</v>
      </c>
      <c r="H270">
        <f t="shared" ca="1" si="35"/>
        <v>-9.4371167575240111E-2</v>
      </c>
      <c r="I270">
        <f t="shared" ca="1" si="36"/>
        <v>-1.1324540109028813</v>
      </c>
      <c r="J270" s="3">
        <f t="shared" ca="1" si="37"/>
        <v>95.892350259714775</v>
      </c>
      <c r="K270" s="3">
        <f t="shared" ca="1" si="38"/>
        <v>-3.0788709926341085E-2</v>
      </c>
      <c r="L270" s="3"/>
    </row>
    <row r="271" spans="1:12" x14ac:dyDescent="0.3">
      <c r="A271">
        <v>269</v>
      </c>
      <c r="B271" s="2">
        <f t="shared" si="32"/>
        <v>3567.6392572944296</v>
      </c>
      <c r="C271" s="2">
        <f t="shared" si="33"/>
        <v>3.2406951521824628E-3</v>
      </c>
      <c r="D271" s="2">
        <f t="shared" si="34"/>
        <v>35.425769407543612</v>
      </c>
      <c r="E271" s="3">
        <f t="shared" si="39"/>
        <v>95.766384933578507</v>
      </c>
      <c r="F271" cm="1">
        <f t="array" aca="1" ref="F271" ca="1">INDEX($O$2:$O$34,INT(A271/$Z$1)+1)</f>
        <v>97.024804270617651</v>
      </c>
      <c r="G271" cm="1">
        <f t="array" aca="1" ref="G271" ca="1">INDEX($O$2:$O$34,INT(A271/$Z$1)+2)</f>
        <v>94.004926908209967</v>
      </c>
      <c r="H271">
        <f t="shared" ca="1" si="35"/>
        <v>-9.4371167575240111E-2</v>
      </c>
      <c r="I271">
        <f t="shared" ca="1" si="36"/>
        <v>-1.2268251784781214</v>
      </c>
      <c r="J271" s="3">
        <f t="shared" ca="1" si="37"/>
        <v>95.797979092139528</v>
      </c>
      <c r="K271" s="3">
        <f t="shared" ca="1" si="38"/>
        <v>-3.1594158561020436E-2</v>
      </c>
      <c r="L271" s="3"/>
    </row>
    <row r="272" spans="1:12" x14ac:dyDescent="0.3">
      <c r="A272">
        <v>270</v>
      </c>
      <c r="B272" s="2">
        <f t="shared" si="32"/>
        <v>3585.6573705179285</v>
      </c>
      <c r="C272" s="2">
        <f t="shared" si="33"/>
        <v>3.2412490392269319E-3</v>
      </c>
      <c r="D272" s="2">
        <f t="shared" si="34"/>
        <v>35.373037846702857</v>
      </c>
      <c r="E272" s="3">
        <f t="shared" si="39"/>
        <v>95.671468124065143</v>
      </c>
      <c r="F272" cm="1">
        <f t="array" aca="1" ref="F272" ca="1">INDEX($O$2:$O$34,INT(A272/$Z$1)+1)</f>
        <v>97.024804270617651</v>
      </c>
      <c r="G272" cm="1">
        <f t="array" aca="1" ref="G272" ca="1">INDEX($O$2:$O$34,INT(A272/$Z$1)+2)</f>
        <v>94.004926908209967</v>
      </c>
      <c r="H272">
        <f t="shared" ca="1" si="35"/>
        <v>-9.4371167575240111E-2</v>
      </c>
      <c r="I272">
        <f t="shared" ca="1" si="36"/>
        <v>-1.3211963460533616</v>
      </c>
      <c r="J272" s="3">
        <f t="shared" ca="1" si="37"/>
        <v>95.703607924564295</v>
      </c>
      <c r="K272" s="3">
        <f t="shared" ca="1" si="38"/>
        <v>-3.2139800499152216E-2</v>
      </c>
      <c r="L272" s="3"/>
    </row>
    <row r="273" spans="1:12" x14ac:dyDescent="0.3">
      <c r="A273">
        <v>271</v>
      </c>
      <c r="B273" s="2">
        <f t="shared" si="32"/>
        <v>3603.7234042553191</v>
      </c>
      <c r="C273" s="2">
        <f t="shared" si="33"/>
        <v>3.2418016119673057E-3</v>
      </c>
      <c r="D273" s="2">
        <f t="shared" si="34"/>
        <v>35.320449366315302</v>
      </c>
      <c r="E273" s="3">
        <f t="shared" si="39"/>
        <v>95.576808859367546</v>
      </c>
      <c r="F273" cm="1">
        <f t="array" aca="1" ref="F273" ca="1">INDEX($O$2:$O$34,INT(A273/$Z$1)+1)</f>
        <v>97.024804270617651</v>
      </c>
      <c r="G273" cm="1">
        <f t="array" aca="1" ref="G273" ca="1">INDEX($O$2:$O$34,INT(A273/$Z$1)+2)</f>
        <v>94.004926908209967</v>
      </c>
      <c r="H273">
        <f t="shared" ca="1" si="35"/>
        <v>-9.4371167575240111E-2</v>
      </c>
      <c r="I273">
        <f t="shared" ca="1" si="36"/>
        <v>-1.4155675136286017</v>
      </c>
      <c r="J273" s="3">
        <f t="shared" ca="1" si="37"/>
        <v>95.609236756989048</v>
      </c>
      <c r="K273" s="3">
        <f t="shared" ca="1" si="38"/>
        <v>-3.2427897621502666E-2</v>
      </c>
      <c r="L273" s="3"/>
    </row>
    <row r="274" spans="1:12" x14ac:dyDescent="0.3">
      <c r="A274">
        <v>272</v>
      </c>
      <c r="B274" s="2">
        <f t="shared" si="32"/>
        <v>3621.837549933422</v>
      </c>
      <c r="C274" s="2">
        <f t="shared" si="33"/>
        <v>3.2423528820299053E-3</v>
      </c>
      <c r="D274" s="2">
        <f t="shared" si="34"/>
        <v>35.268002723362031</v>
      </c>
      <c r="E274" s="3">
        <f t="shared" si="39"/>
        <v>95.482404902051655</v>
      </c>
      <c r="F274" cm="1">
        <f t="array" aca="1" ref="F274" ca="1">INDEX($O$2:$O$34,INT(A274/$Z$1)+1)</f>
        <v>97.024804270617651</v>
      </c>
      <c r="G274" cm="1">
        <f t="array" aca="1" ref="G274" ca="1">INDEX($O$2:$O$34,INT(A274/$Z$1)+2)</f>
        <v>94.004926908209967</v>
      </c>
      <c r="H274">
        <f t="shared" ca="1" si="35"/>
        <v>-9.4371167575240111E-2</v>
      </c>
      <c r="I274">
        <f t="shared" ca="1" si="36"/>
        <v>-1.5099386812038418</v>
      </c>
      <c r="J274" s="3">
        <f t="shared" ca="1" si="37"/>
        <v>95.514865589413802</v>
      </c>
      <c r="K274" s="3">
        <f t="shared" ca="1" si="38"/>
        <v>-3.2460687362146246E-2</v>
      </c>
      <c r="L274" s="3"/>
    </row>
    <row r="275" spans="1:12" x14ac:dyDescent="0.3">
      <c r="A275">
        <v>273</v>
      </c>
      <c r="B275" s="2">
        <f t="shared" si="32"/>
        <v>3640</v>
      </c>
      <c r="C275" s="2">
        <f t="shared" si="33"/>
        <v>3.2429028609207975E-3</v>
      </c>
      <c r="D275" s="2">
        <f t="shared" si="34"/>
        <v>35.21569668820041</v>
      </c>
      <c r="E275" s="3">
        <f t="shared" si="39"/>
        <v>95.388254038760735</v>
      </c>
      <c r="F275" cm="1">
        <f t="array" aca="1" ref="F275" ca="1">INDEX($O$2:$O$34,INT(A275/$Z$1)+1)</f>
        <v>97.024804270617651</v>
      </c>
      <c r="G275" cm="1">
        <f t="array" aca="1" ref="G275" ca="1">INDEX($O$2:$O$34,INT(A275/$Z$1)+2)</f>
        <v>94.004926908209967</v>
      </c>
      <c r="H275">
        <f t="shared" ca="1" si="35"/>
        <v>-9.4371167575240111E-2</v>
      </c>
      <c r="I275">
        <f t="shared" ca="1" si="36"/>
        <v>-1.6043098487790819</v>
      </c>
      <c r="J275" s="3">
        <f t="shared" ca="1" si="37"/>
        <v>95.420494421838569</v>
      </c>
      <c r="K275" s="3">
        <f t="shared" ca="1" si="38"/>
        <v>-3.2240383077834167E-2</v>
      </c>
      <c r="L275" s="3"/>
    </row>
    <row r="276" spans="1:12" x14ac:dyDescent="0.3">
      <c r="A276">
        <v>274</v>
      </c>
      <c r="B276" s="2">
        <f t="shared" si="32"/>
        <v>3658.2109479305741</v>
      </c>
      <c r="C276" s="2">
        <f t="shared" si="33"/>
        <v>3.243451560027599E-3</v>
      </c>
      <c r="D276" s="2">
        <f t="shared" si="34"/>
        <v>35.163530044361437</v>
      </c>
      <c r="E276" s="3">
        <f t="shared" si="39"/>
        <v>95.294354079850592</v>
      </c>
      <c r="F276" cm="1">
        <f t="array" aca="1" ref="F276" ca="1">INDEX($O$2:$O$34,INT(A276/$Z$1)+1)</f>
        <v>97.024804270617651</v>
      </c>
      <c r="G276" cm="1">
        <f t="array" aca="1" ref="G276" ca="1">INDEX($O$2:$O$34,INT(A276/$Z$1)+2)</f>
        <v>94.004926908209967</v>
      </c>
      <c r="H276">
        <f t="shared" ca="1" si="35"/>
        <v>-9.4371167575240111E-2</v>
      </c>
      <c r="I276">
        <f t="shared" ca="1" si="36"/>
        <v>-1.698681016354322</v>
      </c>
      <c r="J276" s="3">
        <f t="shared" ca="1" si="37"/>
        <v>95.326123254263322</v>
      </c>
      <c r="K276" s="3">
        <f t="shared" ca="1" si="38"/>
        <v>-3.1769174412730194E-2</v>
      </c>
      <c r="L276" s="3"/>
    </row>
    <row r="277" spans="1:12" x14ac:dyDescent="0.3">
      <c r="A277">
        <v>275</v>
      </c>
      <c r="B277" s="2">
        <f t="shared" si="32"/>
        <v>3676.4705882352941</v>
      </c>
      <c r="C277" s="2">
        <f t="shared" si="33"/>
        <v>3.2439989906212397E-3</v>
      </c>
      <c r="D277" s="2">
        <f t="shared" si="34"/>
        <v>35.11150158835153</v>
      </c>
      <c r="E277" s="3">
        <f t="shared" si="39"/>
        <v>95.200702859032759</v>
      </c>
      <c r="F277" cm="1">
        <f t="array" aca="1" ref="F277" ca="1">INDEX($O$2:$O$34,INT(A277/$Z$1)+1)</f>
        <v>97.024804270617651</v>
      </c>
      <c r="G277" cm="1">
        <f t="array" aca="1" ref="G277" ca="1">INDEX($O$2:$O$34,INT(A277/$Z$1)+2)</f>
        <v>94.004926908209967</v>
      </c>
      <c r="H277">
        <f t="shared" ca="1" si="35"/>
        <v>-9.4371167575240111E-2</v>
      </c>
      <c r="I277">
        <f t="shared" ca="1" si="36"/>
        <v>-1.7930521839295621</v>
      </c>
      <c r="J277" s="3">
        <f t="shared" ca="1" si="37"/>
        <v>95.23175208668809</v>
      </c>
      <c r="K277" s="3">
        <f t="shared" ca="1" si="38"/>
        <v>-3.1049227655330469E-2</v>
      </c>
      <c r="L277" s="3"/>
    </row>
    <row r="278" spans="1:12" x14ac:dyDescent="0.3">
      <c r="A278">
        <v>276</v>
      </c>
      <c r="B278" s="2">
        <f t="shared" si="32"/>
        <v>3694.7791164658634</v>
      </c>
      <c r="C278" s="2">
        <f t="shared" si="33"/>
        <v>3.2445451638576997E-3</v>
      </c>
      <c r="D278" s="2">
        <f t="shared" si="34"/>
        <v>35.059610129458008</v>
      </c>
      <c r="E278" s="3">
        <f t="shared" si="39"/>
        <v>95.107298233024409</v>
      </c>
      <c r="F278" cm="1">
        <f t="array" aca="1" ref="F278" ca="1">INDEX($O$2:$O$34,INT(A278/$Z$1)+1)</f>
        <v>97.024804270617651</v>
      </c>
      <c r="G278" cm="1">
        <f t="array" aca="1" ref="G278" ca="1">INDEX($O$2:$O$34,INT(A278/$Z$1)+2)</f>
        <v>94.004926908209967</v>
      </c>
      <c r="H278">
        <f t="shared" ca="1" si="35"/>
        <v>-9.4371167575240111E-2</v>
      </c>
      <c r="I278">
        <f t="shared" ca="1" si="36"/>
        <v>-1.8874233515048022</v>
      </c>
      <c r="J278" s="3">
        <f t="shared" ca="1" si="37"/>
        <v>95.137380919112843</v>
      </c>
      <c r="K278" s="3">
        <f t="shared" ca="1" si="38"/>
        <v>-3.008268608843423E-2</v>
      </c>
      <c r="L278" s="3"/>
    </row>
    <row r="279" spans="1:12" x14ac:dyDescent="0.3">
      <c r="A279">
        <v>277</v>
      </c>
      <c r="B279" s="2">
        <f t="shared" si="32"/>
        <v>3713.13672922252</v>
      </c>
      <c r="C279" s="2">
        <f t="shared" si="33"/>
        <v>3.2450900907797149E-3</v>
      </c>
      <c r="D279" s="2">
        <f t="shared" si="34"/>
        <v>35.007854489557417</v>
      </c>
      <c r="E279" s="3">
        <f t="shared" si="39"/>
        <v>95.014138081203356</v>
      </c>
      <c r="F279" cm="1">
        <f t="array" aca="1" ref="F279" ca="1">INDEX($O$2:$O$34,INT(A279/$Z$1)+1)</f>
        <v>97.024804270617651</v>
      </c>
      <c r="G279" cm="1">
        <f t="array" aca="1" ref="G279" ca="1">INDEX($O$2:$O$34,INT(A279/$Z$1)+2)</f>
        <v>94.004926908209967</v>
      </c>
      <c r="H279">
        <f t="shared" ca="1" si="35"/>
        <v>-9.4371167575240111E-2</v>
      </c>
      <c r="I279">
        <f t="shared" ca="1" si="36"/>
        <v>-1.9817945190800423</v>
      </c>
      <c r="J279" s="3">
        <f t="shared" ca="1" si="37"/>
        <v>95.04300975153761</v>
      </c>
      <c r="K279" s="3">
        <f t="shared" ca="1" si="38"/>
        <v>-2.8871670334254418E-2</v>
      </c>
      <c r="L279" s="3"/>
    </row>
    <row r="280" spans="1:12" x14ac:dyDescent="0.3">
      <c r="A280">
        <v>278</v>
      </c>
      <c r="B280" s="2">
        <f t="shared" si="32"/>
        <v>3731.5436241610737</v>
      </c>
      <c r="C280" s="2">
        <f t="shared" si="33"/>
        <v>3.24563378231845E-3</v>
      </c>
      <c r="D280" s="2">
        <f t="shared" si="34"/>
        <v>34.956233502928114</v>
      </c>
      <c r="E280" s="3">
        <f t="shared" si="39"/>
        <v>94.921220305270609</v>
      </c>
      <c r="F280" cm="1">
        <f t="array" aca="1" ref="F280" ca="1">INDEX($O$2:$O$34,INT(A280/$Z$1)+1)</f>
        <v>97.024804270617651</v>
      </c>
      <c r="G280" cm="1">
        <f t="array" aca="1" ref="G280" ca="1">INDEX($O$2:$O$34,INT(A280/$Z$1)+2)</f>
        <v>94.004926908209967</v>
      </c>
      <c r="H280">
        <f t="shared" ca="1" si="35"/>
        <v>-9.4371167575240111E-2</v>
      </c>
      <c r="I280">
        <f t="shared" ca="1" si="36"/>
        <v>-2.0761656866552824</v>
      </c>
      <c r="J280" s="3">
        <f t="shared" ca="1" si="37"/>
        <v>94.948638583962364</v>
      </c>
      <c r="K280" s="3">
        <f t="shared" ca="1" si="38"/>
        <v>-2.7418278691754949E-2</v>
      </c>
      <c r="L280" s="3"/>
    </row>
    <row r="281" spans="1:12" x14ac:dyDescent="0.3">
      <c r="A281">
        <v>279</v>
      </c>
      <c r="B281" s="2">
        <f t="shared" si="32"/>
        <v>3750</v>
      </c>
      <c r="C281" s="2">
        <f t="shared" si="33"/>
        <v>3.2461762492951426E-3</v>
      </c>
      <c r="D281" s="2">
        <f t="shared" si="34"/>
        <v>34.904746016065758</v>
      </c>
      <c r="E281" s="3">
        <f t="shared" si="39"/>
        <v>94.828542828918359</v>
      </c>
      <c r="F281" cm="1">
        <f t="array" aca="1" ref="F281" ca="1">INDEX($O$2:$O$34,INT(A281/$Z$1)+1)</f>
        <v>97.024804270617651</v>
      </c>
      <c r="G281" cm="1">
        <f t="array" aca="1" ref="G281" ca="1">INDEX($O$2:$O$34,INT(A281/$Z$1)+2)</f>
        <v>94.004926908209967</v>
      </c>
      <c r="H281">
        <f t="shared" ca="1" si="35"/>
        <v>-9.4371167575240111E-2</v>
      </c>
      <c r="I281">
        <f t="shared" ca="1" si="36"/>
        <v>-2.1705368542305226</v>
      </c>
      <c r="J281" s="3">
        <f t="shared" ca="1" si="37"/>
        <v>94.854267416387131</v>
      </c>
      <c r="K281" s="3">
        <f t="shared" ca="1" si="38"/>
        <v>-2.5724587468772597E-2</v>
      </c>
      <c r="L281" s="3"/>
    </row>
    <row r="282" spans="1:12" x14ac:dyDescent="0.3">
      <c r="A282">
        <v>280</v>
      </c>
      <c r="B282" s="2">
        <f t="shared" si="32"/>
        <v>3768.5060565275908</v>
      </c>
      <c r="C282" s="2">
        <f t="shared" si="33"/>
        <v>3.2467175024227185E-3</v>
      </c>
      <c r="D282" s="2">
        <f t="shared" si="34"/>
        <v>34.853390887502371</v>
      </c>
      <c r="E282" s="3">
        <f t="shared" si="39"/>
        <v>94.736103597504268</v>
      </c>
      <c r="F282" cm="1">
        <f t="array" aca="1" ref="F282" ca="1">INDEX($O$2:$O$34,INT(A282/$Z$1)+1)</f>
        <v>97.024804270617651</v>
      </c>
      <c r="G282" cm="1">
        <f t="array" aca="1" ref="G282" ca="1">INDEX($O$2:$O$34,INT(A282/$Z$1)+2)</f>
        <v>94.004926908209967</v>
      </c>
      <c r="H282">
        <f t="shared" ca="1" si="35"/>
        <v>-9.4371167575240111E-2</v>
      </c>
      <c r="I282">
        <f t="shared" ca="1" si="36"/>
        <v>-2.2649080218057627</v>
      </c>
      <c r="J282" s="3">
        <f t="shared" ca="1" si="37"/>
        <v>94.759896248811884</v>
      </c>
      <c r="K282" s="3">
        <f t="shared" ca="1" si="38"/>
        <v>-2.3792651307616097E-2</v>
      </c>
      <c r="L282" s="3"/>
    </row>
    <row r="283" spans="1:12" x14ac:dyDescent="0.3">
      <c r="A283">
        <v>281</v>
      </c>
      <c r="B283" s="2">
        <f t="shared" si="32"/>
        <v>3787.0619946091642</v>
      </c>
      <c r="C283" s="2">
        <f t="shared" si="33"/>
        <v>3.247257552307379E-3</v>
      </c>
      <c r="D283" s="2">
        <f t="shared" si="34"/>
        <v>34.802166987628596</v>
      </c>
      <c r="E283" s="3">
        <f t="shared" si="39"/>
        <v>94.643900577731472</v>
      </c>
      <c r="F283" cm="1">
        <f t="array" aca="1" ref="F283" ca="1">INDEX($O$2:$O$34,INT(A283/$Z$1)+1)</f>
        <v>97.024804270617651</v>
      </c>
      <c r="G283" cm="1">
        <f t="array" aca="1" ref="G283" ca="1">INDEX($O$2:$O$34,INT(A283/$Z$1)+2)</f>
        <v>94.004926908209967</v>
      </c>
      <c r="H283">
        <f t="shared" ca="1" si="35"/>
        <v>-9.4371167575240111E-2</v>
      </c>
      <c r="I283">
        <f t="shared" ca="1" si="36"/>
        <v>-2.3592791893810028</v>
      </c>
      <c r="J283" s="3">
        <f t="shared" ca="1" si="37"/>
        <v>94.665525081236652</v>
      </c>
      <c r="K283" s="3">
        <f t="shared" ca="1" si="38"/>
        <v>-2.162450350517986E-2</v>
      </c>
      <c r="L283" s="3"/>
    </row>
    <row r="284" spans="1:12" x14ac:dyDescent="0.3">
      <c r="A284">
        <v>282</v>
      </c>
      <c r="B284" s="2">
        <f t="shared" si="32"/>
        <v>3805.6680161943318</v>
      </c>
      <c r="C284" s="2">
        <f t="shared" si="33"/>
        <v>3.247796409450159E-3</v>
      </c>
      <c r="D284" s="2">
        <f t="shared" si="34"/>
        <v>34.751073198518839</v>
      </c>
      <c r="E284" s="3">
        <f t="shared" si="39"/>
        <v>94.551931757333904</v>
      </c>
      <c r="F284" cm="1">
        <f t="array" aca="1" ref="F284" ca="1">INDEX($O$2:$O$34,INT(A284/$Z$1)+1)</f>
        <v>97.024804270617651</v>
      </c>
      <c r="G284" cm="1">
        <f t="array" aca="1" ref="G284" ca="1">INDEX($O$2:$O$34,INT(A284/$Z$1)+2)</f>
        <v>94.004926908209967</v>
      </c>
      <c r="H284">
        <f t="shared" ca="1" si="35"/>
        <v>-9.4371167575240111E-2</v>
      </c>
      <c r="I284">
        <f t="shared" ca="1" si="36"/>
        <v>-2.4536503569562429</v>
      </c>
      <c r="J284" s="3">
        <f t="shared" ca="1" si="37"/>
        <v>94.571153913661405</v>
      </c>
      <c r="K284" s="3">
        <f t="shared" ca="1" si="38"/>
        <v>-1.9222156327501239E-2</v>
      </c>
      <c r="L284" s="3"/>
    </row>
    <row r="285" spans="1:12" x14ac:dyDescent="0.3">
      <c r="A285">
        <v>283</v>
      </c>
      <c r="B285" s="2">
        <f t="shared" si="32"/>
        <v>3824.3243243243242</v>
      </c>
      <c r="C285" s="2">
        <f t="shared" si="33"/>
        <v>3.2483340842484579E-3</v>
      </c>
      <c r="D285" s="2">
        <f t="shared" si="34"/>
        <v>34.700108413760177</v>
      </c>
      <c r="E285" s="3">
        <f t="shared" si="39"/>
        <v>94.460195144768321</v>
      </c>
      <c r="F285" cm="1">
        <f t="array" aca="1" ref="F285" ca="1">INDEX($O$2:$O$34,INT(A285/$Z$1)+1)</f>
        <v>97.024804270617651</v>
      </c>
      <c r="G285" cm="1">
        <f t="array" aca="1" ref="G285" ca="1">INDEX($O$2:$O$34,INT(A285/$Z$1)+2)</f>
        <v>94.004926908209967</v>
      </c>
      <c r="H285">
        <f t="shared" ca="1" si="35"/>
        <v>-9.4371167575240111E-2</v>
      </c>
      <c r="I285">
        <f t="shared" ca="1" si="36"/>
        <v>-2.548021524531483</v>
      </c>
      <c r="J285" s="3">
        <f t="shared" ca="1" si="37"/>
        <v>94.476782746086172</v>
      </c>
      <c r="K285" s="3">
        <f t="shared" ca="1" si="38"/>
        <v>-1.6587601317851863E-2</v>
      </c>
      <c r="L285" s="3"/>
    </row>
    <row r="286" spans="1:12" x14ac:dyDescent="0.3">
      <c r="A286">
        <v>284</v>
      </c>
      <c r="B286" s="2">
        <f t="shared" si="32"/>
        <v>3843.0311231393775</v>
      </c>
      <c r="C286" s="2">
        <f t="shared" si="33"/>
        <v>3.2488705869975461E-3</v>
      </c>
      <c r="D286" s="2">
        <f t="shared" si="34"/>
        <v>34.649271538283472</v>
      </c>
      <c r="E286" s="3">
        <f t="shared" si="39"/>
        <v>94.368688768910246</v>
      </c>
      <c r="F286" cm="1">
        <f t="array" aca="1" ref="F286" ca="1">INDEX($O$2:$O$34,INT(A286/$Z$1)+1)</f>
        <v>97.024804270617651</v>
      </c>
      <c r="G286" cm="1">
        <f t="array" aca="1" ref="G286" ca="1">INDEX($O$2:$O$34,INT(A286/$Z$1)+2)</f>
        <v>94.004926908209967</v>
      </c>
      <c r="H286">
        <f t="shared" ca="1" si="35"/>
        <v>-9.4371167575240111E-2</v>
      </c>
      <c r="I286">
        <f t="shared" ca="1" si="36"/>
        <v>-2.6423926921067231</v>
      </c>
      <c r="J286" s="3">
        <f t="shared" ca="1" si="37"/>
        <v>94.382411578510926</v>
      </c>
      <c r="K286" s="3">
        <f t="shared" ca="1" si="38"/>
        <v>-1.3722809600679398E-2</v>
      </c>
      <c r="L286" s="3"/>
    </row>
    <row r="287" spans="1:12" x14ac:dyDescent="0.3">
      <c r="A287">
        <v>285</v>
      </c>
      <c r="B287" s="2">
        <f t="shared" si="32"/>
        <v>3861.7886178861791</v>
      </c>
      <c r="C287" s="2">
        <f t="shared" si="33"/>
        <v>3.2494059278920413E-3</v>
      </c>
      <c r="D287" s="2">
        <f t="shared" si="34"/>
        <v>34.598561488198357</v>
      </c>
      <c r="E287" s="3">
        <f t="shared" si="39"/>
        <v>94.277410678757036</v>
      </c>
      <c r="F287" cm="1">
        <f t="array" aca="1" ref="F287" ca="1">INDEX($O$2:$O$34,INT(A287/$Z$1)+1)</f>
        <v>97.024804270617651</v>
      </c>
      <c r="G287" cm="1">
        <f t="array" aca="1" ref="G287" ca="1">INDEX($O$2:$O$34,INT(A287/$Z$1)+2)</f>
        <v>94.004926908209967</v>
      </c>
      <c r="H287">
        <f t="shared" ca="1" si="35"/>
        <v>-9.4371167575240111E-2</v>
      </c>
      <c r="I287">
        <f t="shared" ca="1" si="36"/>
        <v>-2.7367638596819632</v>
      </c>
      <c r="J287" s="3">
        <f t="shared" ca="1" si="37"/>
        <v>94.288040410935693</v>
      </c>
      <c r="K287" s="3">
        <f t="shared" ca="1" si="38"/>
        <v>-1.0629732178657036E-2</v>
      </c>
      <c r="L287" s="3"/>
    </row>
    <row r="288" spans="1:12" x14ac:dyDescent="0.3">
      <c r="A288">
        <v>286</v>
      </c>
      <c r="B288" s="2">
        <f t="shared" si="32"/>
        <v>3880.5970149253731</v>
      </c>
      <c r="C288" s="2">
        <f t="shared" si="33"/>
        <v>3.2499401170273637E-3</v>
      </c>
      <c r="D288" s="2">
        <f t="shared" si="34"/>
        <v>34.547977190630263</v>
      </c>
      <c r="E288" s="3">
        <f t="shared" si="39"/>
        <v>94.186358943134479</v>
      </c>
      <c r="F288" cm="1">
        <f t="array" aca="1" ref="F288" ca="1">INDEX($O$2:$O$34,INT(A288/$Z$1)+1)</f>
        <v>97.024804270617651</v>
      </c>
      <c r="G288" cm="1">
        <f t="array" aca="1" ref="G288" ca="1">INDEX($O$2:$O$34,INT(A288/$Z$1)+2)</f>
        <v>94.004926908209967</v>
      </c>
      <c r="H288">
        <f t="shared" ca="1" si="35"/>
        <v>-9.4371167575240111E-2</v>
      </c>
      <c r="I288">
        <f t="shared" ca="1" si="36"/>
        <v>-2.8311350272572033</v>
      </c>
      <c r="J288" s="3">
        <f t="shared" ca="1" si="37"/>
        <v>94.193669243360446</v>
      </c>
      <c r="K288" s="3">
        <f t="shared" ca="1" si="38"/>
        <v>-7.3103002259671257E-3</v>
      </c>
      <c r="L288" s="3"/>
    </row>
    <row r="289" spans="1:12" x14ac:dyDescent="0.3">
      <c r="A289">
        <v>287</v>
      </c>
      <c r="B289" s="2">
        <f t="shared" si="32"/>
        <v>3899.4565217391305</v>
      </c>
      <c r="C289" s="2">
        <f t="shared" si="33"/>
        <v>3.2504731644011618E-3</v>
      </c>
      <c r="D289" s="2">
        <f t="shared" si="34"/>
        <v>34.497517583561148</v>
      </c>
      <c r="E289" s="3">
        <f t="shared" si="39"/>
        <v>94.095531650410067</v>
      </c>
      <c r="F289" cm="1">
        <f t="array" aca="1" ref="F289" ca="1">INDEX($O$2:$O$34,INT(A289/$Z$1)+1)</f>
        <v>97.024804270617651</v>
      </c>
      <c r="G289" cm="1">
        <f t="array" aca="1" ref="G289" ca="1">INDEX($O$2:$O$34,INT(A289/$Z$1)+2)</f>
        <v>94.004926908209967</v>
      </c>
      <c r="H289">
        <f t="shared" ca="1" si="35"/>
        <v>-9.4371167575240111E-2</v>
      </c>
      <c r="I289">
        <f t="shared" ca="1" si="36"/>
        <v>-2.9255061948324435</v>
      </c>
      <c r="J289" s="3">
        <f t="shared" ca="1" si="37"/>
        <v>94.099298075785214</v>
      </c>
      <c r="K289" s="3">
        <f t="shared" ca="1" si="38"/>
        <v>-3.7664253751472643E-3</v>
      </c>
      <c r="L289" s="3"/>
    </row>
    <row r="290" spans="1:12" x14ac:dyDescent="0.3">
      <c r="A290">
        <v>288</v>
      </c>
      <c r="B290" s="2">
        <f t="shared" si="32"/>
        <v>3918.3673469387754</v>
      </c>
      <c r="C290" s="2">
        <f t="shared" si="33"/>
        <v>3.2510050799147167E-3</v>
      </c>
      <c r="D290" s="2">
        <f t="shared" si="34"/>
        <v>34.447181615672207</v>
      </c>
      <c r="E290" s="3">
        <f t="shared" si="39"/>
        <v>94.004926908209967</v>
      </c>
      <c r="F290" cm="1">
        <f t="array" aca="1" ref="F290" ca="1">INDEX($O$2:$O$34,INT(A290/$Z$1)+1)</f>
        <v>94.004926908209967</v>
      </c>
      <c r="G290" cm="1">
        <f t="array" aca="1" ref="G290" ca="1">INDEX($O$2:$O$34,INT(A290/$Z$1)+2)</f>
        <v>91.212670263865533</v>
      </c>
      <c r="H290">
        <f t="shared" ca="1" si="35"/>
        <v>-8.7258020135763559E-2</v>
      </c>
      <c r="I290">
        <f t="shared" ca="1" si="36"/>
        <v>0</v>
      </c>
      <c r="J290" s="3">
        <f t="shared" ca="1" si="37"/>
        <v>94.004926908209967</v>
      </c>
      <c r="K290" s="3">
        <f t="shared" ca="1" si="38"/>
        <v>0</v>
      </c>
      <c r="L290" s="3"/>
    </row>
    <row r="291" spans="1:12" x14ac:dyDescent="0.3">
      <c r="A291">
        <v>289</v>
      </c>
      <c r="B291" s="2">
        <f t="shared" si="32"/>
        <v>3937.3297002724794</v>
      </c>
      <c r="C291" s="2">
        <f t="shared" si="33"/>
        <v>3.2515358733743219E-3</v>
      </c>
      <c r="D291" s="2">
        <f t="shared" si="34"/>
        <v>34.396968246189942</v>
      </c>
      <c r="E291" s="3">
        <f t="shared" si="39"/>
        <v>93.914542843141902</v>
      </c>
      <c r="F291" cm="1">
        <f t="array" aca="1" ref="F291" ca="1">INDEX($O$2:$O$34,INT(A291/$Z$1)+1)</f>
        <v>94.004926908209967</v>
      </c>
      <c r="G291" cm="1">
        <f t="array" aca="1" ref="G291" ca="1">INDEX($O$2:$O$34,INT(A291/$Z$1)+2)</f>
        <v>91.212670263865533</v>
      </c>
      <c r="H291">
        <f t="shared" ca="1" si="35"/>
        <v>-8.7258020135763559E-2</v>
      </c>
      <c r="I291">
        <f t="shared" ca="1" si="36"/>
        <v>-8.7258020135763559E-2</v>
      </c>
      <c r="J291" s="3">
        <f t="shared" ca="1" si="37"/>
        <v>93.917668888074203</v>
      </c>
      <c r="K291" s="3">
        <f t="shared" ca="1" si="38"/>
        <v>-3.1260449323013972E-3</v>
      </c>
      <c r="L291" s="3"/>
    </row>
    <row r="292" spans="1:12" x14ac:dyDescent="0.3">
      <c r="A292">
        <v>290</v>
      </c>
      <c r="B292" s="2">
        <f t="shared" si="32"/>
        <v>3956.3437926330148</v>
      </c>
      <c r="C292" s="2">
        <f t="shared" si="33"/>
        <v>3.2520655544926386E-3</v>
      </c>
      <c r="D292" s="2">
        <f t="shared" si="34"/>
        <v>34.346876444734562</v>
      </c>
      <c r="E292" s="3">
        <f t="shared" si="39"/>
        <v>93.824377600522212</v>
      </c>
      <c r="F292" cm="1">
        <f t="array" aca="1" ref="F292" ca="1">INDEX($O$2:$O$34,INT(A292/$Z$1)+1)</f>
        <v>94.004926908209967</v>
      </c>
      <c r="G292" cm="1">
        <f t="array" aca="1" ref="G292" ca="1">INDEX($O$2:$O$34,INT(A292/$Z$1)+2)</f>
        <v>91.212670263865533</v>
      </c>
      <c r="H292">
        <f t="shared" ca="1" si="35"/>
        <v>-8.7258020135763559E-2</v>
      </c>
      <c r="I292">
        <f t="shared" ca="1" si="36"/>
        <v>-0.17451604027152712</v>
      </c>
      <c r="J292" s="3">
        <f t="shared" ca="1" si="37"/>
        <v>93.83041086793844</v>
      </c>
      <c r="K292" s="3">
        <f t="shared" ca="1" si="38"/>
        <v>-6.0332674162282274E-3</v>
      </c>
      <c r="L292" s="3"/>
    </row>
    <row r="293" spans="1:12" x14ac:dyDescent="0.3">
      <c r="A293">
        <v>291</v>
      </c>
      <c r="B293" s="2">
        <f t="shared" si="32"/>
        <v>3975.4098360655739</v>
      </c>
      <c r="C293" s="2">
        <f t="shared" si="33"/>
        <v>3.2525941328900277E-3</v>
      </c>
      <c r="D293" s="2">
        <f t="shared" si="34"/>
        <v>34.29690519117122</v>
      </c>
      <c r="E293" s="3">
        <f t="shared" si="39"/>
        <v>93.734429344108193</v>
      </c>
      <c r="F293" cm="1">
        <f t="array" aca="1" ref="F293" ca="1">INDEX($O$2:$O$34,INT(A293/$Z$1)+1)</f>
        <v>94.004926908209967</v>
      </c>
      <c r="G293" cm="1">
        <f t="array" aca="1" ref="G293" ca="1">INDEX($O$2:$O$34,INT(A293/$Z$1)+2)</f>
        <v>91.212670263865533</v>
      </c>
      <c r="H293">
        <f t="shared" ca="1" si="35"/>
        <v>-8.7258020135763559E-2</v>
      </c>
      <c r="I293">
        <f t="shared" ca="1" si="36"/>
        <v>-0.26177406040729068</v>
      </c>
      <c r="J293" s="3">
        <f t="shared" ca="1" si="37"/>
        <v>93.743152847802676</v>
      </c>
      <c r="K293" s="3">
        <f t="shared" ca="1" si="38"/>
        <v>-8.72350369448327E-3</v>
      </c>
      <c r="L293" s="3"/>
    </row>
    <row r="294" spans="1:12" x14ac:dyDescent="0.3">
      <c r="A294">
        <v>292</v>
      </c>
      <c r="B294" s="2">
        <f t="shared" si="32"/>
        <v>3994.5280437756496</v>
      </c>
      <c r="C294" s="2">
        <f t="shared" si="33"/>
        <v>3.2531216180958613E-3</v>
      </c>
      <c r="D294" s="2">
        <f t="shared" si="34"/>
        <v>34.247053475463588</v>
      </c>
      <c r="E294" s="3">
        <f t="shared" si="39"/>
        <v>93.644696255834461</v>
      </c>
      <c r="F294" cm="1">
        <f t="array" aca="1" ref="F294" ca="1">INDEX($O$2:$O$34,INT(A294/$Z$1)+1)</f>
        <v>94.004926908209967</v>
      </c>
      <c r="G294" cm="1">
        <f t="array" aca="1" ref="G294" ca="1">INDEX($O$2:$O$34,INT(A294/$Z$1)+2)</f>
        <v>91.212670263865533</v>
      </c>
      <c r="H294">
        <f t="shared" ca="1" si="35"/>
        <v>-8.7258020135763559E-2</v>
      </c>
      <c r="I294">
        <f t="shared" ca="1" si="36"/>
        <v>-0.34903208054305424</v>
      </c>
      <c r="J294" s="3">
        <f t="shared" ca="1" si="37"/>
        <v>93.655894827666913</v>
      </c>
      <c r="K294" s="3">
        <f t="shared" ca="1" si="38"/>
        <v>-1.1198571832451876E-2</v>
      </c>
      <c r="L294" s="3"/>
    </row>
    <row r="295" spans="1:12" x14ac:dyDescent="0.3">
      <c r="A295">
        <v>293</v>
      </c>
      <c r="B295" s="2">
        <f t="shared" si="32"/>
        <v>4013.6986301369861</v>
      </c>
      <c r="C295" s="2">
        <f t="shared" si="33"/>
        <v>3.2536480195498097E-3</v>
      </c>
      <c r="D295" s="2">
        <f t="shared" si="34"/>
        <v>34.197320297530155</v>
      </c>
      <c r="E295" s="3">
        <f t="shared" si="39"/>
        <v>93.555176535554281</v>
      </c>
      <c r="F295" cm="1">
        <f t="array" aca="1" ref="F295" ca="1">INDEX($O$2:$O$34,INT(A295/$Z$1)+1)</f>
        <v>94.004926908209967</v>
      </c>
      <c r="G295" cm="1">
        <f t="array" aca="1" ref="G295" ca="1">INDEX($O$2:$O$34,INT(A295/$Z$1)+2)</f>
        <v>91.212670263865533</v>
      </c>
      <c r="H295">
        <f t="shared" ca="1" si="35"/>
        <v>-8.7258020135763559E-2</v>
      </c>
      <c r="I295">
        <f t="shared" ca="1" si="36"/>
        <v>-0.43629010067881779</v>
      </c>
      <c r="J295" s="3">
        <f t="shared" ca="1" si="37"/>
        <v>93.568636807531149</v>
      </c>
      <c r="K295" s="3">
        <f t="shared" ca="1" si="38"/>
        <v>-1.3460271976867944E-2</v>
      </c>
      <c r="L295" s="3"/>
    </row>
    <row r="296" spans="1:12" x14ac:dyDescent="0.3">
      <c r="A296">
        <v>294</v>
      </c>
      <c r="B296" s="2">
        <f t="shared" si="32"/>
        <v>4032.9218106995886</v>
      </c>
      <c r="C296" s="2">
        <f t="shared" si="33"/>
        <v>3.2541733466031082E-3</v>
      </c>
      <c r="D296" s="2">
        <f t="shared" si="34"/>
        <v>34.147704667102971</v>
      </c>
      <c r="E296" s="3">
        <f t="shared" si="39"/>
        <v>93.465868400785354</v>
      </c>
      <c r="F296" cm="1">
        <f t="array" aca="1" ref="F296" ca="1">INDEX($O$2:$O$34,INT(A296/$Z$1)+1)</f>
        <v>94.004926908209967</v>
      </c>
      <c r="G296" cm="1">
        <f t="array" aca="1" ref="G296" ca="1">INDEX($O$2:$O$34,INT(A296/$Z$1)+2)</f>
        <v>91.212670263865533</v>
      </c>
      <c r="H296">
        <f t="shared" ca="1" si="35"/>
        <v>-8.7258020135763559E-2</v>
      </c>
      <c r="I296">
        <f t="shared" ca="1" si="36"/>
        <v>-0.52354812081458135</v>
      </c>
      <c r="J296" s="3">
        <f t="shared" ca="1" si="37"/>
        <v>93.481378787395386</v>
      </c>
      <c r="K296" s="3">
        <f t="shared" ca="1" si="38"/>
        <v>-1.5510386610031901E-2</v>
      </c>
      <c r="L296" s="3"/>
    </row>
    <row r="297" spans="1:12" x14ac:dyDescent="0.3">
      <c r="A297">
        <v>295</v>
      </c>
      <c r="B297" s="2">
        <f t="shared" si="32"/>
        <v>4052.197802197802</v>
      </c>
      <c r="C297" s="2">
        <f t="shared" si="33"/>
        <v>3.2546976085198027E-3</v>
      </c>
      <c r="D297" s="2">
        <f t="shared" si="34"/>
        <v>34.098205603588497</v>
      </c>
      <c r="E297" s="3">
        <f t="shared" si="39"/>
        <v>93.376770086459288</v>
      </c>
      <c r="F297" cm="1">
        <f t="array" aca="1" ref="F297" ca="1">INDEX($O$2:$O$34,INT(A297/$Z$1)+1)</f>
        <v>94.004926908209967</v>
      </c>
      <c r="G297" cm="1">
        <f t="array" aca="1" ref="G297" ca="1">INDEX($O$2:$O$34,INT(A297/$Z$1)+2)</f>
        <v>91.212670263865533</v>
      </c>
      <c r="H297">
        <f t="shared" ca="1" si="35"/>
        <v>-8.7258020135763559E-2</v>
      </c>
      <c r="I297">
        <f t="shared" ca="1" si="36"/>
        <v>-0.61080614095034491</v>
      </c>
      <c r="J297" s="3">
        <f t="shared" ca="1" si="37"/>
        <v>93.394120767259622</v>
      </c>
      <c r="K297" s="3">
        <f t="shared" ca="1" si="38"/>
        <v>-1.7350680800333862E-2</v>
      </c>
      <c r="L297" s="3"/>
    </row>
    <row r="298" spans="1:12" x14ac:dyDescent="0.3">
      <c r="A298">
        <v>296</v>
      </c>
      <c r="B298" s="2">
        <f t="shared" si="32"/>
        <v>4071.5268225584596</v>
      </c>
      <c r="C298" s="2">
        <f t="shared" si="33"/>
        <v>3.2552208144779734E-3</v>
      </c>
      <c r="D298" s="2">
        <f t="shared" si="34"/>
        <v>34.048822135931232</v>
      </c>
      <c r="E298" s="3">
        <f t="shared" si="39"/>
        <v>93.287879844676212</v>
      </c>
      <c r="F298" cm="1">
        <f t="array" aca="1" ref="F298" ca="1">INDEX($O$2:$O$34,INT(A298/$Z$1)+1)</f>
        <v>94.004926908209967</v>
      </c>
      <c r="G298" cm="1">
        <f t="array" aca="1" ref="G298" ca="1">INDEX($O$2:$O$34,INT(A298/$Z$1)+2)</f>
        <v>91.212670263865533</v>
      </c>
      <c r="H298">
        <f t="shared" ca="1" si="35"/>
        <v>-8.7258020135763559E-2</v>
      </c>
      <c r="I298">
        <f t="shared" ca="1" si="36"/>
        <v>-0.69806416108610847</v>
      </c>
      <c r="J298" s="3">
        <f t="shared" ca="1" si="37"/>
        <v>93.306862747123859</v>
      </c>
      <c r="K298" s="3">
        <f t="shared" ca="1" si="38"/>
        <v>-1.8982902447646666E-2</v>
      </c>
      <c r="L298" s="3"/>
    </row>
    <row r="299" spans="1:12" x14ac:dyDescent="0.3">
      <c r="A299">
        <v>297</v>
      </c>
      <c r="B299" s="2">
        <f t="shared" si="32"/>
        <v>4090.909090909091</v>
      </c>
      <c r="C299" s="2">
        <f t="shared" si="33"/>
        <v>3.2557429735709403E-3</v>
      </c>
      <c r="D299" s="2">
        <f t="shared" si="34"/>
        <v>33.999553302479342</v>
      </c>
      <c r="E299" s="3">
        <f t="shared" si="39"/>
        <v>93.199195944462815</v>
      </c>
      <c r="F299" cm="1">
        <f t="array" aca="1" ref="F299" ca="1">INDEX($O$2:$O$34,INT(A299/$Z$1)+1)</f>
        <v>94.004926908209967</v>
      </c>
      <c r="G299" cm="1">
        <f t="array" aca="1" ref="G299" ca="1">INDEX($O$2:$O$34,INT(A299/$Z$1)+2)</f>
        <v>91.212670263865533</v>
      </c>
      <c r="H299">
        <f t="shared" ca="1" si="35"/>
        <v>-8.7258020135763559E-2</v>
      </c>
      <c r="I299">
        <f t="shared" ca="1" si="36"/>
        <v>-0.78532218122187203</v>
      </c>
      <c r="J299" s="3">
        <f t="shared" ca="1" si="37"/>
        <v>93.219604726988095</v>
      </c>
      <c r="K299" s="3">
        <f t="shared" ca="1" si="38"/>
        <v>-2.0408782525279889E-2</v>
      </c>
      <c r="L299" s="3"/>
    </row>
    <row r="300" spans="1:12" x14ac:dyDescent="0.3">
      <c r="A300">
        <v>298</v>
      </c>
      <c r="B300" s="2">
        <f t="shared" si="32"/>
        <v>4110.3448275862065</v>
      </c>
      <c r="C300" s="2">
        <f t="shared" si="33"/>
        <v>3.2562640948084445E-3</v>
      </c>
      <c r="D300" s="2">
        <f t="shared" si="34"/>
        <v>33.950398150852948</v>
      </c>
      <c r="E300" s="3">
        <f t="shared" si="39"/>
        <v>93.1107166715353</v>
      </c>
      <c r="F300" cm="1">
        <f t="array" aca="1" ref="F300" ca="1">INDEX($O$2:$O$34,INT(A300/$Z$1)+1)</f>
        <v>94.004926908209967</v>
      </c>
      <c r="G300" cm="1">
        <f t="array" aca="1" ref="G300" ca="1">INDEX($O$2:$O$34,INT(A300/$Z$1)+2)</f>
        <v>91.212670263865533</v>
      </c>
      <c r="H300">
        <f t="shared" ca="1" si="35"/>
        <v>-8.7258020135763559E-2</v>
      </c>
      <c r="I300">
        <f t="shared" ca="1" si="36"/>
        <v>-0.87258020135763559</v>
      </c>
      <c r="J300" s="3">
        <f t="shared" ca="1" si="37"/>
        <v>93.132346706852331</v>
      </c>
      <c r="K300" s="3">
        <f t="shared" ca="1" si="38"/>
        <v>-2.1630035317031115E-2</v>
      </c>
      <c r="L300" s="3"/>
    </row>
    <row r="301" spans="1:12" x14ac:dyDescent="0.3">
      <c r="A301">
        <v>299</v>
      </c>
      <c r="B301" s="2">
        <f t="shared" si="32"/>
        <v>4129.8342541436468</v>
      </c>
      <c r="C301" s="2">
        <f t="shared" si="33"/>
        <v>3.2567841871178173E-3</v>
      </c>
      <c r="D301" s="2">
        <f t="shared" si="34"/>
        <v>33.901355737813901</v>
      </c>
      <c r="E301" s="3">
        <f t="shared" si="39"/>
        <v>93.022440328065017</v>
      </c>
      <c r="F301" cm="1">
        <f t="array" aca="1" ref="F301" ca="1">INDEX($O$2:$O$34,INT(A301/$Z$1)+1)</f>
        <v>94.004926908209967</v>
      </c>
      <c r="G301" cm="1">
        <f t="array" aca="1" ref="G301" ca="1">INDEX($O$2:$O$34,INT(A301/$Z$1)+2)</f>
        <v>91.212670263865533</v>
      </c>
      <c r="H301">
        <f t="shared" ca="1" si="35"/>
        <v>-8.7258020135763559E-2</v>
      </c>
      <c r="I301">
        <f t="shared" ca="1" si="36"/>
        <v>-0.95983822149339915</v>
      </c>
      <c r="J301" s="3">
        <f t="shared" ca="1" si="37"/>
        <v>93.045088686716568</v>
      </c>
      <c r="K301" s="3">
        <f t="shared" ca="1" si="38"/>
        <v>-2.2648358651551348E-2</v>
      </c>
      <c r="L301" s="3"/>
    </row>
    <row r="302" spans="1:12" x14ac:dyDescent="0.3">
      <c r="A302">
        <v>300</v>
      </c>
      <c r="B302" s="2">
        <f t="shared" si="32"/>
        <v>4149.3775933609959</v>
      </c>
      <c r="C302" s="2">
        <f t="shared" si="33"/>
        <v>3.2573032593451205E-3</v>
      </c>
      <c r="D302" s="2">
        <f t="shared" si="34"/>
        <v>33.852425129138794</v>
      </c>
      <c r="E302" s="3">
        <f t="shared" si="39"/>
        <v>92.934365232449835</v>
      </c>
      <c r="F302" cm="1">
        <f t="array" aca="1" ref="F302" ca="1">INDEX($O$2:$O$34,INT(A302/$Z$1)+1)</f>
        <v>94.004926908209967</v>
      </c>
      <c r="G302" cm="1">
        <f t="array" aca="1" ref="G302" ca="1">INDEX($O$2:$O$34,INT(A302/$Z$1)+2)</f>
        <v>91.212670263865533</v>
      </c>
      <c r="H302">
        <f t="shared" ca="1" si="35"/>
        <v>-8.7258020135763559E-2</v>
      </c>
      <c r="I302">
        <f t="shared" ca="1" si="36"/>
        <v>-1.0470962416291627</v>
      </c>
      <c r="J302" s="3">
        <f t="shared" ca="1" si="37"/>
        <v>92.957830666580804</v>
      </c>
      <c r="K302" s="3">
        <f t="shared" ca="1" si="38"/>
        <v>-2.3465434130969243E-2</v>
      </c>
      <c r="L302" s="3"/>
    </row>
    <row r="303" spans="1:12" x14ac:dyDescent="0.3">
      <c r="A303">
        <v>301</v>
      </c>
      <c r="B303" s="2">
        <f t="shared" si="32"/>
        <v>4168.9750692520774</v>
      </c>
      <c r="C303" s="2">
        <f t="shared" si="33"/>
        <v>3.2578213202562782E-3</v>
      </c>
      <c r="D303" s="2">
        <f t="shared" si="34"/>
        <v>33.80360539949271</v>
      </c>
      <c r="E303" s="3">
        <f t="shared" si="39"/>
        <v>92.846489719086875</v>
      </c>
      <c r="F303" cm="1">
        <f t="array" aca="1" ref="F303" ca="1">INDEX($O$2:$O$34,INT(A303/$Z$1)+1)</f>
        <v>94.004926908209967</v>
      </c>
      <c r="G303" cm="1">
        <f t="array" aca="1" ref="G303" ca="1">INDEX($O$2:$O$34,INT(A303/$Z$1)+2)</f>
        <v>91.212670263865533</v>
      </c>
      <c r="H303">
        <f t="shared" ca="1" si="35"/>
        <v>-8.7258020135763559E-2</v>
      </c>
      <c r="I303">
        <f t="shared" ca="1" si="36"/>
        <v>-1.1343542617649263</v>
      </c>
      <c r="J303" s="3">
        <f t="shared" ca="1" si="37"/>
        <v>92.870572646445041</v>
      </c>
      <c r="K303" s="3">
        <f t="shared" ca="1" si="38"/>
        <v>-2.4082927358165307E-2</v>
      </c>
      <c r="L303" s="3"/>
    </row>
    <row r="304" spans="1:12" x14ac:dyDescent="0.3">
      <c r="A304">
        <v>302</v>
      </c>
      <c r="B304" s="2">
        <f t="shared" si="32"/>
        <v>4188.6269070735088</v>
      </c>
      <c r="C304" s="2">
        <f t="shared" si="33"/>
        <v>3.2583383785381812E-3</v>
      </c>
      <c r="D304" s="2">
        <f t="shared" si="34"/>
        <v>33.754895632306727</v>
      </c>
      <c r="E304" s="3">
        <f t="shared" si="39"/>
        <v>92.758812138152109</v>
      </c>
      <c r="F304" cm="1">
        <f t="array" aca="1" ref="F304" ca="1">INDEX($O$2:$O$34,INT(A304/$Z$1)+1)</f>
        <v>94.004926908209967</v>
      </c>
      <c r="G304" cm="1">
        <f t="array" aca="1" ref="G304" ca="1">INDEX($O$2:$O$34,INT(A304/$Z$1)+2)</f>
        <v>91.212670263865533</v>
      </c>
      <c r="H304">
        <f t="shared" ca="1" si="35"/>
        <v>-8.7258020135763559E-2</v>
      </c>
      <c r="I304">
        <f t="shared" ca="1" si="36"/>
        <v>-1.2216122819006898</v>
      </c>
      <c r="J304" s="3">
        <f t="shared" ca="1" si="37"/>
        <v>92.783314626309277</v>
      </c>
      <c r="K304" s="3">
        <f t="shared" ca="1" si="38"/>
        <v>-2.4502488157168045E-2</v>
      </c>
      <c r="L304" s="3"/>
    </row>
    <row r="305" spans="1:12" x14ac:dyDescent="0.3">
      <c r="A305">
        <v>303</v>
      </c>
      <c r="B305" s="2">
        <f t="shared" si="32"/>
        <v>4208.333333333333</v>
      </c>
      <c r="C305" s="2">
        <f t="shared" si="33"/>
        <v>3.2588544427997802E-3</v>
      </c>
      <c r="D305" s="2">
        <f t="shared" si="34"/>
        <v>33.706294919655875</v>
      </c>
      <c r="E305" s="3">
        <f t="shared" si="39"/>
        <v>92.671330855380575</v>
      </c>
      <c r="F305" cm="1">
        <f t="array" aca="1" ref="F305" ca="1">INDEX($O$2:$O$34,INT(A305/$Z$1)+1)</f>
        <v>94.004926908209967</v>
      </c>
      <c r="G305" cm="1">
        <f t="array" aca="1" ref="G305" ca="1">INDEX($O$2:$O$34,INT(A305/$Z$1)+2)</f>
        <v>91.212670263865533</v>
      </c>
      <c r="H305">
        <f t="shared" ca="1" si="35"/>
        <v>-8.7258020135763559E-2</v>
      </c>
      <c r="I305">
        <f t="shared" ca="1" si="36"/>
        <v>-1.3088703020364534</v>
      </c>
      <c r="J305" s="3">
        <f t="shared" ca="1" si="37"/>
        <v>92.696056606173514</v>
      </c>
      <c r="K305" s="3">
        <f t="shared" ca="1" si="38"/>
        <v>-2.4725750792939039E-2</v>
      </c>
      <c r="L305" s="3"/>
    </row>
    <row r="306" spans="1:12" x14ac:dyDescent="0.3">
      <c r="A306">
        <v>304</v>
      </c>
      <c r="B306" s="2">
        <f t="shared" si="32"/>
        <v>4228.0945757997215</v>
      </c>
      <c r="C306" s="2">
        <f t="shared" si="33"/>
        <v>3.259369521573156E-3</v>
      </c>
      <c r="D306" s="2">
        <f t="shared" si="34"/>
        <v>33.657802362140103</v>
      </c>
      <c r="E306" s="3">
        <f t="shared" si="39"/>
        <v>92.584044251852191</v>
      </c>
      <c r="F306" cm="1">
        <f t="array" aca="1" ref="F306" ca="1">INDEX($O$2:$O$34,INT(A306/$Z$1)+1)</f>
        <v>94.004926908209967</v>
      </c>
      <c r="G306" cm="1">
        <f t="array" aca="1" ref="G306" ca="1">INDEX($O$2:$O$34,INT(A306/$Z$1)+2)</f>
        <v>91.212670263865533</v>
      </c>
      <c r="H306">
        <f t="shared" ca="1" si="35"/>
        <v>-8.7258020135763559E-2</v>
      </c>
      <c r="I306">
        <f t="shared" ca="1" si="36"/>
        <v>-1.3961283221722169</v>
      </c>
      <c r="J306" s="3">
        <f t="shared" ca="1" si="37"/>
        <v>92.60879858603775</v>
      </c>
      <c r="K306" s="3">
        <f t="shared" ca="1" si="38"/>
        <v>-2.4754334185558946E-2</v>
      </c>
      <c r="L306" s="3"/>
    </row>
    <row r="307" spans="1:12" x14ac:dyDescent="0.3">
      <c r="A307">
        <v>305</v>
      </c>
      <c r="B307" s="2">
        <f t="shared" si="32"/>
        <v>4247.9108635097491</v>
      </c>
      <c r="C307" s="2">
        <f t="shared" si="33"/>
        <v>3.2598836233145773E-3</v>
      </c>
      <c r="D307" s="2">
        <f t="shared" si="34"/>
        <v>33.609417068767073</v>
      </c>
      <c r="E307" s="3">
        <f t="shared" si="39"/>
        <v>92.496950723780728</v>
      </c>
      <c r="F307" cm="1">
        <f t="array" aca="1" ref="F307" ca="1">INDEX($O$2:$O$34,INT(A307/$Z$1)+1)</f>
        <v>94.004926908209967</v>
      </c>
      <c r="G307" cm="1">
        <f t="array" aca="1" ref="G307" ca="1">INDEX($O$2:$O$34,INT(A307/$Z$1)+2)</f>
        <v>91.212670263865533</v>
      </c>
      <c r="H307">
        <f t="shared" ca="1" si="35"/>
        <v>-8.7258020135763559E-2</v>
      </c>
      <c r="I307">
        <f t="shared" ca="1" si="36"/>
        <v>-1.4833863423079805</v>
      </c>
      <c r="J307" s="3">
        <f t="shared" ca="1" si="37"/>
        <v>92.521540565901986</v>
      </c>
      <c r="K307" s="3">
        <f t="shared" ca="1" si="38"/>
        <v>-2.4589842121258698E-2</v>
      </c>
      <c r="L307" s="3"/>
    </row>
    <row r="308" spans="1:12" x14ac:dyDescent="0.3">
      <c r="A308">
        <v>306</v>
      </c>
      <c r="B308" s="2">
        <f t="shared" si="32"/>
        <v>4267.7824267782426</v>
      </c>
      <c r="C308" s="2">
        <f t="shared" si="33"/>
        <v>3.2603967564055381E-3</v>
      </c>
      <c r="D308" s="2">
        <f t="shared" si="34"/>
        <v>33.561138156836364</v>
      </c>
      <c r="E308" s="3">
        <f t="shared" si="39"/>
        <v>92.410048682305458</v>
      </c>
      <c r="F308" cm="1">
        <f t="array" aca="1" ref="F308" ca="1">INDEX($O$2:$O$34,INT(A308/$Z$1)+1)</f>
        <v>94.004926908209967</v>
      </c>
      <c r="G308" cm="1">
        <f t="array" aca="1" ref="G308" ca="1">INDEX($O$2:$O$34,INT(A308/$Z$1)+2)</f>
        <v>91.212670263865533</v>
      </c>
      <c r="H308">
        <f t="shared" ca="1" si="35"/>
        <v>-8.7258020135763559E-2</v>
      </c>
      <c r="I308">
        <f t="shared" ca="1" si="36"/>
        <v>-1.5706443624437441</v>
      </c>
      <c r="J308" s="3">
        <f t="shared" ca="1" si="37"/>
        <v>92.434282545766223</v>
      </c>
      <c r="K308" s="3">
        <f t="shared" ca="1" si="38"/>
        <v>-2.4233863460764837E-2</v>
      </c>
      <c r="L308" s="3"/>
    </row>
    <row r="309" spans="1:12" x14ac:dyDescent="0.3">
      <c r="A309">
        <v>307</v>
      </c>
      <c r="B309" s="2">
        <f t="shared" si="32"/>
        <v>4287.7094972067043</v>
      </c>
      <c r="C309" s="2">
        <f t="shared" si="33"/>
        <v>3.2609089291537785E-3</v>
      </c>
      <c r="D309" s="2">
        <f t="shared" si="34"/>
        <v>33.512964751826075</v>
      </c>
      <c r="E309" s="3">
        <f t="shared" si="39"/>
        <v>92.323336553286936</v>
      </c>
      <c r="F309" cm="1">
        <f t="array" aca="1" ref="F309" ca="1">INDEX($O$2:$O$34,INT(A309/$Z$1)+1)</f>
        <v>94.004926908209967</v>
      </c>
      <c r="G309" cm="1">
        <f t="array" aca="1" ref="G309" ca="1">INDEX($O$2:$O$34,INT(A309/$Z$1)+2)</f>
        <v>91.212670263865533</v>
      </c>
      <c r="H309">
        <f t="shared" ca="1" si="35"/>
        <v>-8.7258020135763559E-2</v>
      </c>
      <c r="I309">
        <f t="shared" ca="1" si="36"/>
        <v>-1.6579023825795076</v>
      </c>
      <c r="J309" s="3">
        <f t="shared" ca="1" si="37"/>
        <v>92.347024525630459</v>
      </c>
      <c r="K309" s="3">
        <f t="shared" ca="1" si="38"/>
        <v>-2.3687972343523711E-2</v>
      </c>
      <c r="L309" s="3"/>
    </row>
    <row r="310" spans="1:12" x14ac:dyDescent="0.3">
      <c r="A310">
        <v>308</v>
      </c>
      <c r="B310" s="2">
        <f t="shared" si="32"/>
        <v>4307.6923076923076</v>
      </c>
      <c r="C310" s="2">
        <f t="shared" si="33"/>
        <v>3.2614201497942934E-3</v>
      </c>
      <c r="D310" s="2">
        <f t="shared" si="34"/>
        <v>33.464895987281125</v>
      </c>
      <c r="E310" s="3">
        <f t="shared" si="39"/>
        <v>92.236812777106024</v>
      </c>
      <c r="F310" cm="1">
        <f t="array" aca="1" ref="F310" ca="1">INDEX($O$2:$O$34,INT(A310/$Z$1)+1)</f>
        <v>94.004926908209967</v>
      </c>
      <c r="G310" cm="1">
        <f t="array" aca="1" ref="G310" ca="1">INDEX($O$2:$O$34,INT(A310/$Z$1)+2)</f>
        <v>91.212670263865533</v>
      </c>
      <c r="H310">
        <f t="shared" ca="1" si="35"/>
        <v>-8.7258020135763559E-2</v>
      </c>
      <c r="I310">
        <f t="shared" ca="1" si="36"/>
        <v>-1.7451604027152712</v>
      </c>
      <c r="J310" s="3">
        <f t="shared" ca="1" si="37"/>
        <v>92.259766505494696</v>
      </c>
      <c r="K310" s="3">
        <f t="shared" ca="1" si="38"/>
        <v>-2.2953728388671379E-2</v>
      </c>
      <c r="L310" s="3"/>
    </row>
    <row r="311" spans="1:12" x14ac:dyDescent="0.3">
      <c r="A311">
        <v>309</v>
      </c>
      <c r="B311" s="2">
        <f t="shared" si="32"/>
        <v>4327.7310924369749</v>
      </c>
      <c r="C311" s="2">
        <f t="shared" si="33"/>
        <v>3.2619304264903176E-3</v>
      </c>
      <c r="D311" s="2">
        <f t="shared" si="34"/>
        <v>33.416931004703429</v>
      </c>
      <c r="E311" s="3">
        <f t="shared" si="39"/>
        <v>92.150475808466169</v>
      </c>
      <c r="F311" cm="1">
        <f t="array" aca="1" ref="F311" ca="1">INDEX($O$2:$O$34,INT(A311/$Z$1)+1)</f>
        <v>94.004926908209967</v>
      </c>
      <c r="G311" cm="1">
        <f t="array" aca="1" ref="G311" ca="1">INDEX($O$2:$O$34,INT(A311/$Z$1)+2)</f>
        <v>91.212670263865533</v>
      </c>
      <c r="H311">
        <f t="shared" ca="1" si="35"/>
        <v>-8.7258020135763559E-2</v>
      </c>
      <c r="I311">
        <f t="shared" ca="1" si="36"/>
        <v>-1.8324184228510347</v>
      </c>
      <c r="J311" s="3">
        <f t="shared" ca="1" si="37"/>
        <v>92.172508485358932</v>
      </c>
      <c r="K311" s="3">
        <f t="shared" ca="1" si="38"/>
        <v>-2.2032676892763448E-2</v>
      </c>
      <c r="L311" s="3"/>
    </row>
    <row r="312" spans="1:12" x14ac:dyDescent="0.3">
      <c r="A312">
        <v>310</v>
      </c>
      <c r="B312" s="2">
        <f t="shared" si="32"/>
        <v>4347.826086956522</v>
      </c>
      <c r="C312" s="2">
        <f t="shared" si="33"/>
        <v>3.2624397673343044E-3</v>
      </c>
      <c r="D312" s="2">
        <f t="shared" si="34"/>
        <v>33.369068953443559</v>
      </c>
      <c r="E312" s="3">
        <f t="shared" si="39"/>
        <v>92.064324116198407</v>
      </c>
      <c r="F312" cm="1">
        <f t="array" aca="1" ref="F312" ca="1">INDEX($O$2:$O$34,INT(A312/$Z$1)+1)</f>
        <v>94.004926908209967</v>
      </c>
      <c r="G312" cm="1">
        <f t="array" aca="1" ref="G312" ca="1">INDEX($O$2:$O$34,INT(A312/$Z$1)+2)</f>
        <v>91.212670263865533</v>
      </c>
      <c r="H312">
        <f t="shared" ca="1" si="35"/>
        <v>-8.7258020135763559E-2</v>
      </c>
      <c r="I312">
        <f t="shared" ca="1" si="36"/>
        <v>-1.9196764429867983</v>
      </c>
      <c r="J312" s="3">
        <f t="shared" ca="1" si="37"/>
        <v>92.085250465223169</v>
      </c>
      <c r="K312" s="3">
        <f t="shared" ca="1" si="38"/>
        <v>-2.0926349024762203E-2</v>
      </c>
      <c r="L312" s="3"/>
    </row>
    <row r="313" spans="1:12" x14ac:dyDescent="0.3">
      <c r="A313">
        <v>311</v>
      </c>
      <c r="B313" s="2">
        <f t="shared" si="32"/>
        <v>4367.9775280898875</v>
      </c>
      <c r="C313" s="2">
        <f t="shared" si="33"/>
        <v>3.2629481803488798E-3</v>
      </c>
      <c r="D313" s="2">
        <f t="shared" si="34"/>
        <v>33.321308990594616</v>
      </c>
      <c r="E313" s="3">
        <f t="shared" si="39"/>
        <v>91.978356183070304</v>
      </c>
      <c r="F313" cm="1">
        <f t="array" aca="1" ref="F313" ca="1">INDEX($O$2:$O$34,INT(A313/$Z$1)+1)</f>
        <v>94.004926908209967</v>
      </c>
      <c r="G313" cm="1">
        <f t="array" aca="1" ref="G313" ca="1">INDEX($O$2:$O$34,INT(A313/$Z$1)+2)</f>
        <v>91.212670263865533</v>
      </c>
      <c r="H313">
        <f t="shared" ca="1" si="35"/>
        <v>-8.7258020135763559E-2</v>
      </c>
      <c r="I313">
        <f t="shared" ca="1" si="36"/>
        <v>-2.0069344631225619</v>
      </c>
      <c r="J313" s="3">
        <f t="shared" ca="1" si="37"/>
        <v>91.997992445087405</v>
      </c>
      <c r="K313" s="3">
        <f t="shared" ca="1" si="38"/>
        <v>-1.9636262017101558E-2</v>
      </c>
      <c r="L313" s="3"/>
    </row>
    <row r="314" spans="1:12" x14ac:dyDescent="0.3">
      <c r="A314">
        <v>312</v>
      </c>
      <c r="B314" s="2">
        <f t="shared" si="32"/>
        <v>4388.1856540084391</v>
      </c>
      <c r="C314" s="2">
        <f t="shared" si="33"/>
        <v>3.26345567348779E-3</v>
      </c>
      <c r="D314" s="2">
        <f t="shared" si="34"/>
        <v>33.273650280887296</v>
      </c>
      <c r="E314" s="3">
        <f t="shared" si="39"/>
        <v>91.892570505597135</v>
      </c>
      <c r="F314" cm="1">
        <f t="array" aca="1" ref="F314" ca="1">INDEX($O$2:$O$34,INT(A314/$Z$1)+1)</f>
        <v>94.004926908209967</v>
      </c>
      <c r="G314" cm="1">
        <f t="array" aca="1" ref="G314" ca="1">INDEX($O$2:$O$34,INT(A314/$Z$1)+2)</f>
        <v>91.212670263865533</v>
      </c>
      <c r="H314">
        <f t="shared" ca="1" si="35"/>
        <v>-8.7258020135763559E-2</v>
      </c>
      <c r="I314">
        <f t="shared" ca="1" si="36"/>
        <v>-2.0941924832583254</v>
      </c>
      <c r="J314" s="3">
        <f t="shared" ca="1" si="37"/>
        <v>91.910734424951642</v>
      </c>
      <c r="K314" s="3">
        <f t="shared" ca="1" si="38"/>
        <v>-1.8163919354506675E-2</v>
      </c>
      <c r="L314" s="3"/>
    </row>
    <row r="315" spans="1:12" x14ac:dyDescent="0.3">
      <c r="A315">
        <v>313</v>
      </c>
      <c r="B315" s="2">
        <f t="shared" si="32"/>
        <v>4408.4507042253517</v>
      </c>
      <c r="C315" s="2">
        <f t="shared" si="33"/>
        <v>3.2639622546368273E-3</v>
      </c>
      <c r="D315" s="2">
        <f t="shared" si="34"/>
        <v>33.226091996587002</v>
      </c>
      <c r="E315" s="3">
        <f t="shared" si="39"/>
        <v>91.806965593856603</v>
      </c>
      <c r="F315" cm="1">
        <f t="array" aca="1" ref="F315" ca="1">INDEX($O$2:$O$34,INT(A315/$Z$1)+1)</f>
        <v>94.004926908209967</v>
      </c>
      <c r="G315" cm="1">
        <f t="array" aca="1" ref="G315" ca="1">INDEX($O$2:$O$34,INT(A315/$Z$1)+2)</f>
        <v>91.212670263865533</v>
      </c>
      <c r="H315">
        <f t="shared" ca="1" si="35"/>
        <v>-8.7258020135763559E-2</v>
      </c>
      <c r="I315">
        <f t="shared" ca="1" si="36"/>
        <v>-2.181450503394089</v>
      </c>
      <c r="J315" s="3">
        <f t="shared" ca="1" si="37"/>
        <v>91.823476404815878</v>
      </c>
      <c r="K315" s="3">
        <f t="shared" ca="1" si="38"/>
        <v>-1.6510810959275091E-2</v>
      </c>
      <c r="L315" s="3"/>
    </row>
    <row r="316" spans="1:12" x14ac:dyDescent="0.3">
      <c r="A316">
        <v>314</v>
      </c>
      <c r="B316" s="2">
        <f t="shared" si="32"/>
        <v>4428.7729196050777</v>
      </c>
      <c r="C316" s="2">
        <f t="shared" si="33"/>
        <v>3.264467931614745E-3</v>
      </c>
      <c r="D316" s="2">
        <f t="shared" si="34"/>
        <v>33.178633317392553</v>
      </c>
      <c r="E316" s="3">
        <f t="shared" si="39"/>
        <v>91.721539971306598</v>
      </c>
      <c r="F316" cm="1">
        <f t="array" aca="1" ref="F316" ca="1">INDEX($O$2:$O$34,INT(A316/$Z$1)+1)</f>
        <v>94.004926908209967</v>
      </c>
      <c r="G316" cm="1">
        <f t="array" aca="1" ref="G316" ca="1">INDEX($O$2:$O$34,INT(A316/$Z$1)+2)</f>
        <v>91.212670263865533</v>
      </c>
      <c r="H316">
        <f t="shared" ca="1" si="35"/>
        <v>-8.7258020135763559E-2</v>
      </c>
      <c r="I316">
        <f t="shared" ca="1" si="36"/>
        <v>-2.2687085235298525</v>
      </c>
      <c r="J316" s="3">
        <f t="shared" ca="1" si="37"/>
        <v>91.736218384680114</v>
      </c>
      <c r="K316" s="3">
        <f t="shared" ca="1" si="38"/>
        <v>-1.4678413373516719E-2</v>
      </c>
      <c r="L316" s="3"/>
    </row>
    <row r="317" spans="1:12" x14ac:dyDescent="0.3">
      <c r="A317">
        <v>315</v>
      </c>
      <c r="B317" s="2">
        <f t="shared" si="32"/>
        <v>4449.1525423728817</v>
      </c>
      <c r="C317" s="2">
        <f t="shared" si="33"/>
        <v>3.2649727121741587E-3</v>
      </c>
      <c r="D317" s="2">
        <f t="shared" si="34"/>
        <v>33.13127343033625</v>
      </c>
      <c r="E317" s="3">
        <f t="shared" si="39"/>
        <v>91.636292174605245</v>
      </c>
      <c r="F317" cm="1">
        <f t="array" aca="1" ref="F317" ca="1">INDEX($O$2:$O$34,INT(A317/$Z$1)+1)</f>
        <v>94.004926908209967</v>
      </c>
      <c r="G317" cm="1">
        <f t="array" aca="1" ref="G317" ca="1">INDEX($O$2:$O$34,INT(A317/$Z$1)+2)</f>
        <v>91.212670263865533</v>
      </c>
      <c r="H317">
        <f t="shared" ca="1" si="35"/>
        <v>-8.7258020135763559E-2</v>
      </c>
      <c r="I317">
        <f t="shared" ca="1" si="36"/>
        <v>-2.3559665436656161</v>
      </c>
      <c r="J317" s="3">
        <f t="shared" ca="1" si="37"/>
        <v>91.648960364544351</v>
      </c>
      <c r="K317" s="3">
        <f t="shared" ca="1" si="38"/>
        <v>-1.2668189939105901E-2</v>
      </c>
      <c r="L317" s="3"/>
    </row>
    <row r="318" spans="1:12" x14ac:dyDescent="0.3">
      <c r="A318">
        <v>316</v>
      </c>
      <c r="B318" s="2">
        <f t="shared" si="32"/>
        <v>4469.5898161244695</v>
      </c>
      <c r="C318" s="2">
        <f t="shared" si="33"/>
        <v>3.2654766040024303E-3</v>
      </c>
      <c r="D318" s="2">
        <f t="shared" si="34"/>
        <v>33.084011529685995</v>
      </c>
      <c r="E318" s="3">
        <f t="shared" si="39"/>
        <v>91.551220753434791</v>
      </c>
      <c r="F318" cm="1">
        <f t="array" aca="1" ref="F318" ca="1">INDEX($O$2:$O$34,INT(A318/$Z$1)+1)</f>
        <v>94.004926908209967</v>
      </c>
      <c r="G318" cm="1">
        <f t="array" aca="1" ref="G318" ca="1">INDEX($O$2:$O$34,INT(A318/$Z$1)+2)</f>
        <v>91.212670263865533</v>
      </c>
      <c r="H318">
        <f t="shared" ca="1" si="35"/>
        <v>-8.7258020135763559E-2</v>
      </c>
      <c r="I318">
        <f t="shared" ca="1" si="36"/>
        <v>-2.4432245638013796</v>
      </c>
      <c r="J318" s="3">
        <f t="shared" ca="1" si="37"/>
        <v>91.561702344408587</v>
      </c>
      <c r="K318" s="3">
        <f t="shared" ca="1" si="38"/>
        <v>-1.0481590973796528E-2</v>
      </c>
      <c r="L318" s="3"/>
    </row>
    <row r="319" spans="1:12" x14ac:dyDescent="0.3">
      <c r="A319">
        <v>317</v>
      </c>
      <c r="B319" s="2">
        <f t="shared" si="32"/>
        <v>4490.0849858356942</v>
      </c>
      <c r="C319" s="2">
        <f t="shared" si="33"/>
        <v>3.2659796147225424E-3</v>
      </c>
      <c r="D319" s="2">
        <f t="shared" si="34"/>
        <v>33.036846816848197</v>
      </c>
      <c r="E319" s="3">
        <f t="shared" si="39"/>
        <v>91.466324270326751</v>
      </c>
      <c r="F319" cm="1">
        <f t="array" aca="1" ref="F319" ca="1">INDEX($O$2:$O$34,INT(A319/$Z$1)+1)</f>
        <v>94.004926908209967</v>
      </c>
      <c r="G319" cm="1">
        <f t="array" aca="1" ref="G319" ca="1">INDEX($O$2:$O$34,INT(A319/$Z$1)+2)</f>
        <v>91.212670263865533</v>
      </c>
      <c r="H319">
        <f t="shared" ca="1" si="35"/>
        <v>-8.7258020135763559E-2</v>
      </c>
      <c r="I319">
        <f t="shared" ca="1" si="36"/>
        <v>-2.5304825839371432</v>
      </c>
      <c r="J319" s="3">
        <f t="shared" ca="1" si="37"/>
        <v>91.474444324272824</v>
      </c>
      <c r="K319" s="3">
        <f t="shared" ca="1" si="38"/>
        <v>-8.1200539460724031E-3</v>
      </c>
      <c r="L319" s="3"/>
    </row>
    <row r="320" spans="1:12" x14ac:dyDescent="0.3">
      <c r="A320">
        <v>318</v>
      </c>
      <c r="B320" s="2">
        <f t="shared" si="32"/>
        <v>4510.6382978723404</v>
      </c>
      <c r="C320" s="2">
        <f t="shared" si="33"/>
        <v>3.2664817518939567E-3</v>
      </c>
      <c r="D320" s="2">
        <f t="shared" si="34"/>
        <v>32.989778500273133</v>
      </c>
      <c r="E320" s="3">
        <f t="shared" si="39"/>
        <v>91.381601300491639</v>
      </c>
      <c r="F320" cm="1">
        <f t="array" aca="1" ref="F320" ca="1">INDEX($O$2:$O$34,INT(A320/$Z$1)+1)</f>
        <v>94.004926908209967</v>
      </c>
      <c r="G320" cm="1">
        <f t="array" aca="1" ref="G320" ca="1">INDEX($O$2:$O$34,INT(A320/$Z$1)+2)</f>
        <v>91.212670263865533</v>
      </c>
      <c r="H320">
        <f t="shared" ca="1" si="35"/>
        <v>-8.7258020135763559E-2</v>
      </c>
      <c r="I320">
        <f t="shared" ca="1" si="36"/>
        <v>-2.6177406040729068</v>
      </c>
      <c r="J320" s="3">
        <f t="shared" ca="1" si="37"/>
        <v>91.38718630413706</v>
      </c>
      <c r="K320" s="3">
        <f t="shared" ca="1" si="38"/>
        <v>-5.5850036454216934E-3</v>
      </c>
      <c r="L320" s="3"/>
    </row>
    <row r="321" spans="1:12" x14ac:dyDescent="0.3">
      <c r="A321">
        <v>319</v>
      </c>
      <c r="B321" s="2">
        <f t="shared" si="32"/>
        <v>4531.25</v>
      </c>
      <c r="C321" s="2">
        <f t="shared" si="33"/>
        <v>3.266983023013459E-3</v>
      </c>
      <c r="D321" s="2">
        <f t="shared" si="34"/>
        <v>32.942805795360982</v>
      </c>
      <c r="E321" s="3">
        <f t="shared" si="39"/>
        <v>91.297050431649765</v>
      </c>
      <c r="F321" cm="1">
        <f t="array" aca="1" ref="F321" ca="1">INDEX($O$2:$O$34,INT(A321/$Z$1)+1)</f>
        <v>94.004926908209967</v>
      </c>
      <c r="G321" cm="1">
        <f t="array" aca="1" ref="G321" ca="1">INDEX($O$2:$O$34,INT(A321/$Z$1)+2)</f>
        <v>91.212670263865533</v>
      </c>
      <c r="H321">
        <f t="shared" ca="1" si="35"/>
        <v>-8.7258020135763559E-2</v>
      </c>
      <c r="I321">
        <f t="shared" ca="1" si="36"/>
        <v>-2.7049986242086703</v>
      </c>
      <c r="J321" s="3">
        <f t="shared" ca="1" si="37"/>
        <v>91.299928284001297</v>
      </c>
      <c r="K321" s="3">
        <f t="shared" ca="1" si="38"/>
        <v>-2.8778523515313736E-3</v>
      </c>
      <c r="L321" s="3"/>
    </row>
    <row r="322" spans="1:12" x14ac:dyDescent="0.3">
      <c r="A322">
        <v>320</v>
      </c>
      <c r="B322" s="2">
        <f t="shared" ref="B322:B385" si="40">$T$1*A322/($V$1-A322)</f>
        <v>4551.9203413940259</v>
      </c>
      <c r="C322" s="2">
        <f t="shared" ref="C322:C385" si="41">LOG(B322/$T$2)/$T$3 + (1/$X$2)</f>
        <v>3.2674834355159942E-3</v>
      </c>
      <c r="D322" s="2">
        <f t="shared" ref="D322:D385" si="42">1/C322 - 273.15</f>
        <v>32.895927924369744</v>
      </c>
      <c r="E322" s="3">
        <f t="shared" si="39"/>
        <v>91.212670263865533</v>
      </c>
      <c r="F322" cm="1">
        <f t="array" aca="1" ref="F322" ca="1">INDEX($O$2:$O$34,INT(A322/$Z$1)+1)</f>
        <v>91.212670263865533</v>
      </c>
      <c r="G322" cm="1">
        <f t="array" aca="1" ref="G322" ca="1">INDEX($O$2:$O$34,INT(A322/$Z$1)+2)</f>
        <v>88.594847157959862</v>
      </c>
      <c r="H322">
        <f t="shared" ca="1" si="35"/>
        <v>-8.180697205955223E-2</v>
      </c>
      <c r="I322">
        <f t="shared" ca="1" si="36"/>
        <v>0</v>
      </c>
      <c r="J322" s="3">
        <f t="shared" ca="1" si="37"/>
        <v>91.212670263865533</v>
      </c>
      <c r="K322" s="3">
        <f t="shared" ca="1" si="38"/>
        <v>0</v>
      </c>
      <c r="L322" s="3"/>
    </row>
    <row r="323" spans="1:12" x14ac:dyDescent="0.3">
      <c r="A323">
        <v>321</v>
      </c>
      <c r="B323" s="2">
        <f t="shared" si="40"/>
        <v>4572.6495726495723</v>
      </c>
      <c r="C323" s="2">
        <f t="shared" si="41"/>
        <v>3.2679829967754838E-3</v>
      </c>
      <c r="D323" s="2">
        <f t="shared" si="42"/>
        <v>32.849144116324737</v>
      </c>
      <c r="E323" s="3">
        <f t="shared" si="39"/>
        <v>91.128459409384533</v>
      </c>
      <c r="F323" cm="1">
        <f t="array" aca="1" ref="F323" ca="1">INDEX($O$2:$O$34,INT(A323/$Z$1)+1)</f>
        <v>91.212670263865533</v>
      </c>
      <c r="G323" cm="1">
        <f t="array" aca="1" ref="G323" ca="1">INDEX($O$2:$O$34,INT(A323/$Z$1)+2)</f>
        <v>88.594847157959862</v>
      </c>
      <c r="H323">
        <f t="shared" ref="H323:H386" ca="1" si="43">(G323-F323)/$Z$1</f>
        <v>-8.180697205955223E-2</v>
      </c>
      <c r="I323">
        <f t="shared" ref="I323:I386" ca="1" si="44">H323*MOD(A323,$Z$1)</f>
        <v>-8.180697205955223E-2</v>
      </c>
      <c r="J323" s="3">
        <f t="shared" ref="J323:J386" ca="1" si="45">F323+I323</f>
        <v>91.13086329180598</v>
      </c>
      <c r="K323" s="3">
        <f t="shared" ref="K323:K386" ca="1" si="46">E323-J323</f>
        <v>-2.4038824214471788E-3</v>
      </c>
      <c r="L323" s="3"/>
    </row>
    <row r="324" spans="1:12" x14ac:dyDescent="0.3">
      <c r="A324">
        <v>322</v>
      </c>
      <c r="B324" s="2">
        <f t="shared" si="40"/>
        <v>4593.4379457917257</v>
      </c>
      <c r="C324" s="2">
        <f t="shared" si="41"/>
        <v>3.2684817141056372E-3</v>
      </c>
      <c r="D324" s="2">
        <f t="shared" si="42"/>
        <v>32.802453606928793</v>
      </c>
      <c r="E324" s="3">
        <f t="shared" ref="E324:E387" si="47">D324*9/5 + 32</f>
        <v>91.044416492471825</v>
      </c>
      <c r="F324" cm="1">
        <f t="array" aca="1" ref="F324" ca="1">INDEX($O$2:$O$34,INT(A324/$Z$1)+1)</f>
        <v>91.212670263865533</v>
      </c>
      <c r="G324" cm="1">
        <f t="array" aca="1" ref="G324" ca="1">INDEX($O$2:$O$34,INT(A324/$Z$1)+2)</f>
        <v>88.594847157959862</v>
      </c>
      <c r="H324">
        <f t="shared" ca="1" si="43"/>
        <v>-8.180697205955223E-2</v>
      </c>
      <c r="I324">
        <f t="shared" ca="1" si="44"/>
        <v>-0.16361394411910446</v>
      </c>
      <c r="J324" s="3">
        <f t="shared" ca="1" si="45"/>
        <v>91.049056319746427</v>
      </c>
      <c r="K324" s="3">
        <f t="shared" ca="1" si="46"/>
        <v>-4.639827274601771E-3</v>
      </c>
      <c r="L324" s="3"/>
    </row>
    <row r="325" spans="1:12" x14ac:dyDescent="0.3">
      <c r="A325">
        <v>323</v>
      </c>
      <c r="B325" s="2">
        <f t="shared" si="40"/>
        <v>4614.2857142857147</v>
      </c>
      <c r="C325" s="2">
        <f t="shared" si="41"/>
        <v>3.2689795947607445E-3</v>
      </c>
      <c r="D325" s="2">
        <f t="shared" si="42"/>
        <v>32.75585563847477</v>
      </c>
      <c r="E325" s="3">
        <f t="shared" si="47"/>
        <v>90.960540149254584</v>
      </c>
      <c r="F325" cm="1">
        <f t="array" aca="1" ref="F325" ca="1">INDEX($O$2:$O$34,INT(A325/$Z$1)+1)</f>
        <v>91.212670263865533</v>
      </c>
      <c r="G325" cm="1">
        <f t="array" aca="1" ref="G325" ca="1">INDEX($O$2:$O$34,INT(A325/$Z$1)+2)</f>
        <v>88.594847157959862</v>
      </c>
      <c r="H325">
        <f t="shared" ca="1" si="43"/>
        <v>-8.180697205955223E-2</v>
      </c>
      <c r="I325">
        <f t="shared" ca="1" si="44"/>
        <v>-0.24542091617865669</v>
      </c>
      <c r="J325" s="3">
        <f t="shared" ca="1" si="45"/>
        <v>90.967249347686874</v>
      </c>
      <c r="K325" s="3">
        <f t="shared" ca="1" si="46"/>
        <v>-6.7091984322900089E-3</v>
      </c>
      <c r="L325" s="3"/>
    </row>
    <row r="326" spans="1:12" x14ac:dyDescent="0.3">
      <c r="A326">
        <v>324</v>
      </c>
      <c r="B326" s="2">
        <f t="shared" si="40"/>
        <v>4635.1931330472107</v>
      </c>
      <c r="C326" s="2">
        <f t="shared" si="41"/>
        <v>3.2694766459364622E-3</v>
      </c>
      <c r="D326" s="2">
        <f t="shared" si="42"/>
        <v>32.709349459758698</v>
      </c>
      <c r="E326" s="3">
        <f t="shared" si="47"/>
        <v>90.876829027565662</v>
      </c>
      <c r="F326" cm="1">
        <f t="array" aca="1" ref="F326" ca="1">INDEX($O$2:$O$34,INT(A326/$Z$1)+1)</f>
        <v>91.212670263865533</v>
      </c>
      <c r="G326" cm="1">
        <f t="array" aca="1" ref="G326" ca="1">INDEX($O$2:$O$34,INT(A326/$Z$1)+2)</f>
        <v>88.594847157959862</v>
      </c>
      <c r="H326">
        <f t="shared" ca="1" si="43"/>
        <v>-8.180697205955223E-2</v>
      </c>
      <c r="I326">
        <f t="shared" ca="1" si="44"/>
        <v>-0.32722788823820892</v>
      </c>
      <c r="J326" s="3">
        <f t="shared" ca="1" si="45"/>
        <v>90.885442375627321</v>
      </c>
      <c r="K326" s="3">
        <f t="shared" ca="1" si="46"/>
        <v>-8.6133480616581437E-3</v>
      </c>
      <c r="L326" s="3"/>
    </row>
    <row r="327" spans="1:12" x14ac:dyDescent="0.3">
      <c r="A327">
        <v>325</v>
      </c>
      <c r="B327" s="2">
        <f t="shared" si="40"/>
        <v>4656.1604584527222</v>
      </c>
      <c r="C327" s="2">
        <f t="shared" si="41"/>
        <v>3.2699728747705844E-3</v>
      </c>
      <c r="D327" s="2">
        <f t="shared" si="42"/>
        <v>32.662934325994456</v>
      </c>
      <c r="E327" s="3">
        <f t="shared" si="47"/>
        <v>90.793281786790018</v>
      </c>
      <c r="F327" cm="1">
        <f t="array" aca="1" ref="F327" ca="1">INDEX($O$2:$O$34,INT(A327/$Z$1)+1)</f>
        <v>91.212670263865533</v>
      </c>
      <c r="G327" cm="1">
        <f t="array" aca="1" ref="G327" ca="1">INDEX($O$2:$O$34,INT(A327/$Z$1)+2)</f>
        <v>88.594847157959862</v>
      </c>
      <c r="H327">
        <f t="shared" ca="1" si="43"/>
        <v>-8.180697205955223E-2</v>
      </c>
      <c r="I327">
        <f t="shared" ca="1" si="44"/>
        <v>-0.40903486029776115</v>
      </c>
      <c r="J327" s="3">
        <f t="shared" ca="1" si="45"/>
        <v>90.803635403567768</v>
      </c>
      <c r="K327" s="3">
        <f t="shared" ca="1" si="46"/>
        <v>-1.0353616777749153E-2</v>
      </c>
      <c r="L327" s="3"/>
    </row>
    <row r="328" spans="1:12" x14ac:dyDescent="0.3">
      <c r="A328">
        <v>326</v>
      </c>
      <c r="B328" s="2">
        <f t="shared" si="40"/>
        <v>4677.1879483500716</v>
      </c>
      <c r="C328" s="2">
        <f t="shared" si="41"/>
        <v>3.2704682883438036E-3</v>
      </c>
      <c r="D328" s="2">
        <f t="shared" si="42"/>
        <v>32.616609498730099</v>
      </c>
      <c r="E328" s="3">
        <f t="shared" si="47"/>
        <v>90.709897097714176</v>
      </c>
      <c r="F328" cm="1">
        <f t="array" aca="1" ref="F328" ca="1">INDEX($O$2:$O$34,INT(A328/$Z$1)+1)</f>
        <v>91.212670263865533</v>
      </c>
      <c r="G328" cm="1">
        <f t="array" aca="1" ref="G328" ca="1">INDEX($O$2:$O$34,INT(A328/$Z$1)+2)</f>
        <v>88.594847157959862</v>
      </c>
      <c r="H328">
        <f t="shared" ca="1" si="43"/>
        <v>-8.180697205955223E-2</v>
      </c>
      <c r="I328">
        <f t="shared" ca="1" si="44"/>
        <v>-0.49084183235731338</v>
      </c>
      <c r="J328" s="3">
        <f t="shared" ca="1" si="45"/>
        <v>90.721828431508214</v>
      </c>
      <c r="K328" s="3">
        <f t="shared" ca="1" si="46"/>
        <v>-1.1931333794038324E-2</v>
      </c>
      <c r="L328" s="3"/>
    </row>
    <row r="329" spans="1:12" x14ac:dyDescent="0.3">
      <c r="A329">
        <v>327</v>
      </c>
      <c r="B329" s="2">
        <f t="shared" si="40"/>
        <v>4698.2758620689656</v>
      </c>
      <c r="C329" s="2">
        <f t="shared" si="41"/>
        <v>3.2709628936804605E-3</v>
      </c>
      <c r="D329" s="2">
        <f t="shared" si="42"/>
        <v>32.570374245764754</v>
      </c>
      <c r="E329" s="3">
        <f t="shared" si="47"/>
        <v>90.626673642376559</v>
      </c>
      <c r="F329" cm="1">
        <f t="array" aca="1" ref="F329" ca="1">INDEX($O$2:$O$34,INT(A329/$Z$1)+1)</f>
        <v>91.212670263865533</v>
      </c>
      <c r="G329" cm="1">
        <f t="array" aca="1" ref="G329" ca="1">INDEX($O$2:$O$34,INT(A329/$Z$1)+2)</f>
        <v>88.594847157959862</v>
      </c>
      <c r="H329">
        <f t="shared" ca="1" si="43"/>
        <v>-8.180697205955223E-2</v>
      </c>
      <c r="I329">
        <f t="shared" ca="1" si="44"/>
        <v>-0.57264880441686561</v>
      </c>
      <c r="J329" s="3">
        <f t="shared" ca="1" si="45"/>
        <v>90.640021459448661</v>
      </c>
      <c r="K329" s="3">
        <f t="shared" ca="1" si="46"/>
        <v>-1.3347817072101975E-2</v>
      </c>
      <c r="L329" s="3"/>
    </row>
    <row r="330" spans="1:12" x14ac:dyDescent="0.3">
      <c r="A330">
        <v>328</v>
      </c>
      <c r="B330" s="2">
        <f t="shared" si="40"/>
        <v>4719.4244604316546</v>
      </c>
      <c r="C330" s="2">
        <f t="shared" si="41"/>
        <v>3.2714566977492809E-3</v>
      </c>
      <c r="D330" s="2">
        <f t="shared" si="42"/>
        <v>32.5242278410675</v>
      </c>
      <c r="E330" s="3">
        <f t="shared" si="47"/>
        <v>90.543610113921503</v>
      </c>
      <c r="F330" cm="1">
        <f t="array" aca="1" ref="F330" ca="1">INDEX($O$2:$O$34,INT(A330/$Z$1)+1)</f>
        <v>91.212670263865533</v>
      </c>
      <c r="G330" cm="1">
        <f t="array" aca="1" ref="G330" ca="1">INDEX($O$2:$O$34,INT(A330/$Z$1)+2)</f>
        <v>88.594847157959862</v>
      </c>
      <c r="H330">
        <f t="shared" ca="1" si="43"/>
        <v>-8.180697205955223E-2</v>
      </c>
      <c r="I330">
        <f t="shared" ca="1" si="44"/>
        <v>-0.65445577647641784</v>
      </c>
      <c r="J330" s="3">
        <f t="shared" ca="1" si="45"/>
        <v>90.558214487389108</v>
      </c>
      <c r="K330" s="3">
        <f t="shared" ca="1" si="46"/>
        <v>-1.4604373467605569E-2</v>
      </c>
      <c r="L330" s="3"/>
    </row>
    <row r="331" spans="1:12" x14ac:dyDescent="0.3">
      <c r="A331">
        <v>329</v>
      </c>
      <c r="B331" s="2">
        <f t="shared" si="40"/>
        <v>4740.6340057636889</v>
      </c>
      <c r="C331" s="2">
        <f t="shared" si="41"/>
        <v>3.2719497074641048E-3</v>
      </c>
      <c r="D331" s="2">
        <f t="shared" si="42"/>
        <v>32.478169564696998</v>
      </c>
      <c r="E331" s="3">
        <f t="shared" si="47"/>
        <v>90.460705216454599</v>
      </c>
      <c r="F331" cm="1">
        <f t="array" aca="1" ref="F331" ca="1">INDEX($O$2:$O$34,INT(A331/$Z$1)+1)</f>
        <v>91.212670263865533</v>
      </c>
      <c r="G331" cm="1">
        <f t="array" aca="1" ref="G331" ca="1">INDEX($O$2:$O$34,INT(A331/$Z$1)+2)</f>
        <v>88.594847157959862</v>
      </c>
      <c r="H331">
        <f t="shared" ca="1" si="43"/>
        <v>-8.180697205955223E-2</v>
      </c>
      <c r="I331">
        <f t="shared" ca="1" si="44"/>
        <v>-0.73626274853597007</v>
      </c>
      <c r="J331" s="3">
        <f t="shared" ca="1" si="45"/>
        <v>90.476407515329569</v>
      </c>
      <c r="K331" s="3">
        <f t="shared" ca="1" si="46"/>
        <v>-1.5702298874970211E-2</v>
      </c>
      <c r="L331" s="3"/>
    </row>
    <row r="332" spans="1:12" x14ac:dyDescent="0.3">
      <c r="A332">
        <v>330</v>
      </c>
      <c r="B332" s="2">
        <f t="shared" si="40"/>
        <v>4761.9047619047615</v>
      </c>
      <c r="C332" s="2">
        <f t="shared" si="41"/>
        <v>3.2724419296846015E-3</v>
      </c>
      <c r="D332" s="2">
        <f t="shared" si="42"/>
        <v>32.43219870272236</v>
      </c>
      <c r="E332" s="3">
        <f t="shared" si="47"/>
        <v>90.377957664900251</v>
      </c>
      <c r="F332" cm="1">
        <f t="array" aca="1" ref="F332" ca="1">INDEX($O$2:$O$34,INT(A332/$Z$1)+1)</f>
        <v>91.212670263865533</v>
      </c>
      <c r="G332" cm="1">
        <f t="array" aca="1" ref="G332" ca="1">INDEX($O$2:$O$34,INT(A332/$Z$1)+2)</f>
        <v>88.594847157959862</v>
      </c>
      <c r="H332">
        <f t="shared" ca="1" si="43"/>
        <v>-8.180697205955223E-2</v>
      </c>
      <c r="I332">
        <f t="shared" ca="1" si="44"/>
        <v>-0.8180697205955223</v>
      </c>
      <c r="J332" s="3">
        <f t="shared" ca="1" si="45"/>
        <v>90.394600543270016</v>
      </c>
      <c r="K332" s="3">
        <f t="shared" ca="1" si="46"/>
        <v>-1.6642878369765413E-2</v>
      </c>
      <c r="L332" s="3"/>
    </row>
    <row r="333" spans="1:12" x14ac:dyDescent="0.3">
      <c r="A333">
        <v>331</v>
      </c>
      <c r="B333" s="2">
        <f t="shared" si="40"/>
        <v>4783.2369942196528</v>
      </c>
      <c r="C333" s="2">
        <f t="shared" si="41"/>
        <v>3.272933371216976E-3</v>
      </c>
      <c r="D333" s="2">
        <f t="shared" si="42"/>
        <v>32.38631454714573</v>
      </c>
      <c r="E333" s="3">
        <f t="shared" si="47"/>
        <v>90.295366184862317</v>
      </c>
      <c r="F333" cm="1">
        <f t="array" aca="1" ref="F333" ca="1">INDEX($O$2:$O$34,INT(A333/$Z$1)+1)</f>
        <v>91.212670263865533</v>
      </c>
      <c r="G333" cm="1">
        <f t="array" aca="1" ref="G333" ca="1">INDEX($O$2:$O$34,INT(A333/$Z$1)+2)</f>
        <v>88.594847157959862</v>
      </c>
      <c r="H333">
        <f t="shared" ca="1" si="43"/>
        <v>-8.180697205955223E-2</v>
      </c>
      <c r="I333">
        <f t="shared" ca="1" si="44"/>
        <v>-0.89987669265507453</v>
      </c>
      <c r="J333" s="3">
        <f t="shared" ca="1" si="45"/>
        <v>90.312793571210463</v>
      </c>
      <c r="K333" s="3">
        <f t="shared" ca="1" si="46"/>
        <v>-1.7427386348146001E-2</v>
      </c>
      <c r="L333" s="3"/>
    </row>
    <row r="334" spans="1:12" x14ac:dyDescent="0.3">
      <c r="A334">
        <v>332</v>
      </c>
      <c r="B334" s="2">
        <f t="shared" si="40"/>
        <v>4804.6309696092621</v>
      </c>
      <c r="C334" s="2">
        <f t="shared" si="41"/>
        <v>3.2734240388146664E-3</v>
      </c>
      <c r="D334" s="2">
        <f t="shared" si="42"/>
        <v>32.340516395825148</v>
      </c>
      <c r="E334" s="3">
        <f t="shared" si="47"/>
        <v>90.21292951248526</v>
      </c>
      <c r="F334" cm="1">
        <f t="array" aca="1" ref="F334" ca="1">INDEX($O$2:$O$34,INT(A334/$Z$1)+1)</f>
        <v>91.212670263865533</v>
      </c>
      <c r="G334" cm="1">
        <f t="array" aca="1" ref="G334" ca="1">INDEX($O$2:$O$34,INT(A334/$Z$1)+2)</f>
        <v>88.594847157959862</v>
      </c>
      <c r="H334">
        <f t="shared" ca="1" si="43"/>
        <v>-8.180697205955223E-2</v>
      </c>
      <c r="I334">
        <f t="shared" ca="1" si="44"/>
        <v>-0.98168366471462676</v>
      </c>
      <c r="J334" s="3">
        <f t="shared" ca="1" si="45"/>
        <v>90.23098659915091</v>
      </c>
      <c r="K334" s="3">
        <f t="shared" ca="1" si="46"/>
        <v>-1.8057086665649535E-2</v>
      </c>
      <c r="L334" s="3"/>
    </row>
    <row r="335" spans="1:12" x14ac:dyDescent="0.3">
      <c r="A335">
        <v>333</v>
      </c>
      <c r="B335" s="2">
        <f t="shared" si="40"/>
        <v>4826.086956521739</v>
      </c>
      <c r="C335" s="2">
        <f t="shared" si="41"/>
        <v>3.2739139391790278E-3</v>
      </c>
      <c r="D335" s="2">
        <f t="shared" si="42"/>
        <v>32.294803552399344</v>
      </c>
      <c r="E335" s="3">
        <f t="shared" si="47"/>
        <v>90.130646394318816</v>
      </c>
      <c r="F335" cm="1">
        <f t="array" aca="1" ref="F335" ca="1">INDEX($O$2:$O$34,INT(A335/$Z$1)+1)</f>
        <v>91.212670263865533</v>
      </c>
      <c r="G335" cm="1">
        <f t="array" aca="1" ref="G335" ca="1">INDEX($O$2:$O$34,INT(A335/$Z$1)+2)</f>
        <v>88.594847157959862</v>
      </c>
      <c r="H335">
        <f t="shared" ca="1" si="43"/>
        <v>-8.180697205955223E-2</v>
      </c>
      <c r="I335">
        <f t="shared" ca="1" si="44"/>
        <v>-1.063490636774179</v>
      </c>
      <c r="J335" s="3">
        <f t="shared" ca="1" si="45"/>
        <v>90.149179627091357</v>
      </c>
      <c r="K335" s="3">
        <f t="shared" ca="1" si="46"/>
        <v>-1.8533232772540487E-2</v>
      </c>
      <c r="L335" s="3"/>
    </row>
    <row r="336" spans="1:12" x14ac:dyDescent="0.3">
      <c r="A336">
        <v>334</v>
      </c>
      <c r="B336" s="2">
        <f t="shared" si="40"/>
        <v>4847.605224963716</v>
      </c>
      <c r="C336" s="2">
        <f t="shared" si="41"/>
        <v>3.2744030789600086E-3</v>
      </c>
      <c r="D336" s="2">
        <f t="shared" si="42"/>
        <v>32.249175326213219</v>
      </c>
      <c r="E336" s="3">
        <f t="shared" si="47"/>
        <v>90.0485155871838</v>
      </c>
      <c r="F336" cm="1">
        <f t="array" aca="1" ref="F336" ca="1">INDEX($O$2:$O$34,INT(A336/$Z$1)+1)</f>
        <v>91.212670263865533</v>
      </c>
      <c r="G336" cm="1">
        <f t="array" aca="1" ref="G336" ca="1">INDEX($O$2:$O$34,INT(A336/$Z$1)+2)</f>
        <v>88.594847157959862</v>
      </c>
      <c r="H336">
        <f t="shared" ca="1" si="43"/>
        <v>-8.180697205955223E-2</v>
      </c>
      <c r="I336">
        <f t="shared" ca="1" si="44"/>
        <v>-1.1452976088337312</v>
      </c>
      <c r="J336" s="3">
        <f t="shared" ca="1" si="45"/>
        <v>90.067372655031804</v>
      </c>
      <c r="K336" s="3">
        <f t="shared" ca="1" si="46"/>
        <v>-1.8857067848003339E-2</v>
      </c>
      <c r="L336" s="3"/>
    </row>
    <row r="337" spans="1:12" x14ac:dyDescent="0.3">
      <c r="A337">
        <v>335</v>
      </c>
      <c r="B337" s="2">
        <f t="shared" si="40"/>
        <v>4869.1860465116279</v>
      </c>
      <c r="C337" s="2">
        <f t="shared" si="41"/>
        <v>3.2748914647568175E-3</v>
      </c>
      <c r="D337" s="2">
        <f t="shared" si="42"/>
        <v>32.203631032244516</v>
      </c>
      <c r="E337" s="3">
        <f t="shared" si="47"/>
        <v>89.966535858040132</v>
      </c>
      <c r="F337" cm="1">
        <f t="array" aca="1" ref="F337" ca="1">INDEX($O$2:$O$34,INT(A337/$Z$1)+1)</f>
        <v>91.212670263865533</v>
      </c>
      <c r="G337" cm="1">
        <f t="array" aca="1" ref="G337" ca="1">INDEX($O$2:$O$34,INT(A337/$Z$1)+2)</f>
        <v>88.594847157959862</v>
      </c>
      <c r="H337">
        <f t="shared" ca="1" si="43"/>
        <v>-8.180697205955223E-2</v>
      </c>
      <c r="I337">
        <f t="shared" ca="1" si="44"/>
        <v>-1.2271045808932834</v>
      </c>
      <c r="J337" s="3">
        <f t="shared" ca="1" si="45"/>
        <v>89.985565682972251</v>
      </c>
      <c r="K337" s="3">
        <f t="shared" ca="1" si="46"/>
        <v>-1.90298249321188E-2</v>
      </c>
      <c r="L337" s="3"/>
    </row>
    <row r="338" spans="1:12" x14ac:dyDescent="0.3">
      <c r="A338">
        <v>336</v>
      </c>
      <c r="B338" s="2">
        <f t="shared" si="40"/>
        <v>4890.8296943231444</v>
      </c>
      <c r="C338" s="2">
        <f t="shared" si="41"/>
        <v>3.2753791031185794E-3</v>
      </c>
      <c r="D338" s="2">
        <f t="shared" si="42"/>
        <v>32.158169991031684</v>
      </c>
      <c r="E338" s="3">
        <f t="shared" si="47"/>
        <v>89.884705983857032</v>
      </c>
      <c r="F338" cm="1">
        <f t="array" aca="1" ref="F338" ca="1">INDEX($O$2:$O$34,INT(A338/$Z$1)+1)</f>
        <v>91.212670263865533</v>
      </c>
      <c r="G338" cm="1">
        <f t="array" aca="1" ref="G338" ca="1">INDEX($O$2:$O$34,INT(A338/$Z$1)+2)</f>
        <v>88.594847157959862</v>
      </c>
      <c r="H338">
        <f t="shared" ca="1" si="43"/>
        <v>-8.180697205955223E-2</v>
      </c>
      <c r="I338">
        <f t="shared" ca="1" si="44"/>
        <v>-1.3089115529528357</v>
      </c>
      <c r="J338" s="3">
        <f t="shared" ca="1" si="45"/>
        <v>89.903758710912697</v>
      </c>
      <c r="K338" s="3">
        <f t="shared" ca="1" si="46"/>
        <v>-1.9052727055665741E-2</v>
      </c>
      <c r="L338" s="3"/>
    </row>
    <row r="339" spans="1:12" x14ac:dyDescent="0.3">
      <c r="A339">
        <v>337</v>
      </c>
      <c r="B339" s="2">
        <f t="shared" si="40"/>
        <v>4912.5364431486878</v>
      </c>
      <c r="C339" s="2">
        <f t="shared" si="41"/>
        <v>3.2758660005449826E-3</v>
      </c>
      <c r="D339" s="2">
        <f t="shared" si="42"/>
        <v>32.112791528602543</v>
      </c>
      <c r="E339" s="3">
        <f t="shared" si="47"/>
        <v>89.803024751484571</v>
      </c>
      <c r="F339" cm="1">
        <f t="array" aca="1" ref="F339" ca="1">INDEX($O$2:$O$34,INT(A339/$Z$1)+1)</f>
        <v>91.212670263865533</v>
      </c>
      <c r="G339" cm="1">
        <f t="array" aca="1" ref="G339" ca="1">INDEX($O$2:$O$34,INT(A339/$Z$1)+2)</f>
        <v>88.594847157959862</v>
      </c>
      <c r="H339">
        <f t="shared" ca="1" si="43"/>
        <v>-8.180697205955223E-2</v>
      </c>
      <c r="I339">
        <f t="shared" ca="1" si="44"/>
        <v>-1.3907185250123879</v>
      </c>
      <c r="J339" s="3">
        <f t="shared" ca="1" si="45"/>
        <v>89.821951738853144</v>
      </c>
      <c r="K339" s="3">
        <f t="shared" ca="1" si="46"/>
        <v>-1.8926987368573123E-2</v>
      </c>
      <c r="L339" s="3"/>
    </row>
    <row r="340" spans="1:12" x14ac:dyDescent="0.3">
      <c r="A340">
        <v>338</v>
      </c>
      <c r="B340" s="2">
        <f t="shared" si="40"/>
        <v>4934.3065693430653</v>
      </c>
      <c r="C340" s="2">
        <f t="shared" si="41"/>
        <v>3.2763521634869173E-3</v>
      </c>
      <c r="D340" s="2">
        <f t="shared" si="42"/>
        <v>32.067494976404475</v>
      </c>
      <c r="E340" s="3">
        <f t="shared" si="47"/>
        <v>89.721490957528061</v>
      </c>
      <c r="F340" cm="1">
        <f t="array" aca="1" ref="F340" ca="1">INDEX($O$2:$O$34,INT(A340/$Z$1)+1)</f>
        <v>91.212670263865533</v>
      </c>
      <c r="G340" cm="1">
        <f t="array" aca="1" ref="G340" ca="1">INDEX($O$2:$O$34,INT(A340/$Z$1)+2)</f>
        <v>88.594847157959862</v>
      </c>
      <c r="H340">
        <f t="shared" ca="1" si="43"/>
        <v>-8.180697205955223E-2</v>
      </c>
      <c r="I340">
        <f t="shared" ca="1" si="44"/>
        <v>-1.4725254970719401</v>
      </c>
      <c r="J340" s="3">
        <f t="shared" ca="1" si="45"/>
        <v>89.740144766793591</v>
      </c>
      <c r="K340" s="3">
        <f t="shared" ca="1" si="46"/>
        <v>-1.8653809265529731E-2</v>
      </c>
      <c r="L340" s="3"/>
    </row>
    <row r="341" spans="1:12" x14ac:dyDescent="0.3">
      <c r="A341">
        <v>339</v>
      </c>
      <c r="B341" s="2">
        <f t="shared" si="40"/>
        <v>4956.1403508771928</v>
      </c>
      <c r="C341" s="2">
        <f t="shared" si="41"/>
        <v>3.276837598347104E-3</v>
      </c>
      <c r="D341" s="2">
        <f t="shared" si="42"/>
        <v>32.022279671234912</v>
      </c>
      <c r="E341" s="3">
        <f t="shared" si="47"/>
        <v>89.640103408222842</v>
      </c>
      <c r="F341" cm="1">
        <f t="array" aca="1" ref="F341" ca="1">INDEX($O$2:$O$34,INT(A341/$Z$1)+1)</f>
        <v>91.212670263865533</v>
      </c>
      <c r="G341" cm="1">
        <f t="array" aca="1" ref="G341" ca="1">INDEX($O$2:$O$34,INT(A341/$Z$1)+2)</f>
        <v>88.594847157959862</v>
      </c>
      <c r="H341">
        <f t="shared" ca="1" si="43"/>
        <v>-8.180697205955223E-2</v>
      </c>
      <c r="I341">
        <f t="shared" ca="1" si="44"/>
        <v>-1.5543324691314924</v>
      </c>
      <c r="J341" s="3">
        <f t="shared" ca="1" si="45"/>
        <v>89.658337794734038</v>
      </c>
      <c r="K341" s="3">
        <f t="shared" ca="1" si="46"/>
        <v>-1.8234386511196021E-2</v>
      </c>
      <c r="L341" s="3"/>
    </row>
    <row r="342" spans="1:12" x14ac:dyDescent="0.3">
      <c r="A342">
        <v>340</v>
      </c>
      <c r="B342" s="2">
        <f t="shared" si="40"/>
        <v>4978.0380673499267</v>
      </c>
      <c r="C342" s="2">
        <f t="shared" si="41"/>
        <v>3.2773223114807132E-3</v>
      </c>
      <c r="D342" s="2">
        <f t="shared" si="42"/>
        <v>31.977144955173571</v>
      </c>
      <c r="E342" s="3">
        <f t="shared" si="47"/>
        <v>89.558860919312423</v>
      </c>
      <c r="F342" cm="1">
        <f t="array" aca="1" ref="F342" ca="1">INDEX($O$2:$O$34,INT(A342/$Z$1)+1)</f>
        <v>91.212670263865533</v>
      </c>
      <c r="G342" cm="1">
        <f t="array" aca="1" ref="G342" ca="1">INDEX($O$2:$O$34,INT(A342/$Z$1)+2)</f>
        <v>88.594847157959862</v>
      </c>
      <c r="H342">
        <f t="shared" ca="1" si="43"/>
        <v>-8.180697205955223E-2</v>
      </c>
      <c r="I342">
        <f t="shared" ca="1" si="44"/>
        <v>-1.6361394411910446</v>
      </c>
      <c r="J342" s="3">
        <f t="shared" ca="1" si="45"/>
        <v>89.576530822674485</v>
      </c>
      <c r="K342" s="3">
        <f t="shared" ca="1" si="46"/>
        <v>-1.76699033620622E-2</v>
      </c>
      <c r="L342" s="3"/>
    </row>
    <row r="343" spans="1:12" x14ac:dyDescent="0.3">
      <c r="A343">
        <v>341</v>
      </c>
      <c r="B343" s="2">
        <f t="shared" si="40"/>
        <v>5000</v>
      </c>
      <c r="C343" s="2">
        <f t="shared" si="41"/>
        <v>3.2778063091959781E-3</v>
      </c>
      <c r="D343" s="2">
        <f t="shared" si="42"/>
        <v>31.932090175515214</v>
      </c>
      <c r="E343" s="3">
        <f t="shared" si="47"/>
        <v>89.477762315927379</v>
      </c>
      <c r="F343" cm="1">
        <f t="array" aca="1" ref="F343" ca="1">INDEX($O$2:$O$34,INT(A343/$Z$1)+1)</f>
        <v>91.212670263865533</v>
      </c>
      <c r="G343" cm="1">
        <f t="array" aca="1" ref="G343" ca="1">INDEX($O$2:$O$34,INT(A343/$Z$1)+2)</f>
        <v>88.594847157959862</v>
      </c>
      <c r="H343">
        <f t="shared" ca="1" si="43"/>
        <v>-8.180697205955223E-2</v>
      </c>
      <c r="I343">
        <f t="shared" ca="1" si="44"/>
        <v>-1.7179464132505968</v>
      </c>
      <c r="J343" s="3">
        <f t="shared" ca="1" si="45"/>
        <v>89.494723850614932</v>
      </c>
      <c r="K343" s="3">
        <f t="shared" ca="1" si="46"/>
        <v>-1.6961534687553126E-2</v>
      </c>
      <c r="L343" s="3"/>
    </row>
    <row r="344" spans="1:12" x14ac:dyDescent="0.3">
      <c r="A344">
        <v>342</v>
      </c>
      <c r="B344" s="2">
        <f t="shared" si="40"/>
        <v>5022.0264317180618</v>
      </c>
      <c r="C344" s="2">
        <f t="shared" si="41"/>
        <v>3.278289597754796E-3</v>
      </c>
      <c r="D344" s="2">
        <f t="shared" si="42"/>
        <v>31.887114684703477</v>
      </c>
      <c r="E344" s="3">
        <f t="shared" si="47"/>
        <v>89.396806432466263</v>
      </c>
      <c r="F344" cm="1">
        <f t="array" aca="1" ref="F344" ca="1">INDEX($O$2:$O$34,INT(A344/$Z$1)+1)</f>
        <v>91.212670263865533</v>
      </c>
      <c r="G344" cm="1">
        <f t="array" aca="1" ref="G344" ca="1">INDEX($O$2:$O$34,INT(A344/$Z$1)+2)</f>
        <v>88.594847157959862</v>
      </c>
      <c r="H344">
        <f t="shared" ca="1" si="43"/>
        <v>-8.180697205955223E-2</v>
      </c>
      <c r="I344">
        <f t="shared" ca="1" si="44"/>
        <v>-1.7997533853101491</v>
      </c>
      <c r="J344" s="3">
        <f t="shared" ca="1" si="45"/>
        <v>89.412916878555379</v>
      </c>
      <c r="K344" s="3">
        <f t="shared" ca="1" si="46"/>
        <v>-1.6110446089115271E-2</v>
      </c>
      <c r="L344" s="3"/>
    </row>
    <row r="345" spans="1:12" x14ac:dyDescent="0.3">
      <c r="A345">
        <v>343</v>
      </c>
      <c r="B345" s="2">
        <f t="shared" si="40"/>
        <v>5044.1176470588234</v>
      </c>
      <c r="C345" s="2">
        <f t="shared" si="41"/>
        <v>3.2787721833733236E-3</v>
      </c>
      <c r="D345" s="2">
        <f t="shared" si="42"/>
        <v>31.842217840265619</v>
      </c>
      <c r="E345" s="3">
        <f t="shared" si="47"/>
        <v>89.315992112478114</v>
      </c>
      <c r="F345" cm="1">
        <f t="array" aca="1" ref="F345" ca="1">INDEX($O$2:$O$34,INT(A345/$Z$1)+1)</f>
        <v>91.212670263865533</v>
      </c>
      <c r="G345" cm="1">
        <f t="array" aca="1" ref="G345" ca="1">INDEX($O$2:$O$34,INT(A345/$Z$1)+2)</f>
        <v>88.594847157959862</v>
      </c>
      <c r="H345">
        <f t="shared" ca="1" si="43"/>
        <v>-8.180697205955223E-2</v>
      </c>
      <c r="I345">
        <f t="shared" ca="1" si="44"/>
        <v>-1.8815603573697013</v>
      </c>
      <c r="J345" s="3">
        <f t="shared" ca="1" si="45"/>
        <v>89.331109906495826</v>
      </c>
      <c r="K345" s="3">
        <f t="shared" ca="1" si="46"/>
        <v>-1.5117794017712072E-2</v>
      </c>
      <c r="L345" s="3"/>
    </row>
    <row r="346" spans="1:12" x14ac:dyDescent="0.3">
      <c r="A346">
        <v>344</v>
      </c>
      <c r="B346" s="2">
        <f t="shared" si="40"/>
        <v>5066.2739322533134</v>
      </c>
      <c r="C346" s="2">
        <f t="shared" si="41"/>
        <v>3.2792540722225627E-3</v>
      </c>
      <c r="D346" s="2">
        <f t="shared" si="42"/>
        <v>31.797399004748456</v>
      </c>
      <c r="E346" s="3">
        <f t="shared" si="47"/>
        <v>89.235318208547227</v>
      </c>
      <c r="F346" cm="1">
        <f t="array" aca="1" ref="F346" ca="1">INDEX($O$2:$O$34,INT(A346/$Z$1)+1)</f>
        <v>91.212670263865533</v>
      </c>
      <c r="G346" cm="1">
        <f t="array" aca="1" ref="G346" ca="1">INDEX($O$2:$O$34,INT(A346/$Z$1)+2)</f>
        <v>88.594847157959862</v>
      </c>
      <c r="H346">
        <f t="shared" ca="1" si="43"/>
        <v>-8.180697205955223E-2</v>
      </c>
      <c r="I346">
        <f t="shared" ca="1" si="44"/>
        <v>-1.9633673294292535</v>
      </c>
      <c r="J346" s="3">
        <f t="shared" ca="1" si="45"/>
        <v>89.249302934436287</v>
      </c>
      <c r="K346" s="3">
        <f t="shared" ca="1" si="46"/>
        <v>-1.3984725889059746E-2</v>
      </c>
      <c r="L346" s="3"/>
    </row>
    <row r="347" spans="1:12" x14ac:dyDescent="0.3">
      <c r="A347">
        <v>345</v>
      </c>
      <c r="B347" s="2">
        <f t="shared" si="40"/>
        <v>5088.4955752212391</v>
      </c>
      <c r="C347" s="2">
        <f t="shared" si="41"/>
        <v>3.2797352704289381E-3</v>
      </c>
      <c r="D347" s="2">
        <f t="shared" si="42"/>
        <v>31.752657545654813</v>
      </c>
      <c r="E347" s="3">
        <f t="shared" si="47"/>
        <v>89.154783582178666</v>
      </c>
      <c r="F347" cm="1">
        <f t="array" aca="1" ref="F347" ca="1">INDEX($O$2:$O$34,INT(A347/$Z$1)+1)</f>
        <v>91.212670263865533</v>
      </c>
      <c r="G347" cm="1">
        <f t="array" aca="1" ref="G347" ca="1">INDEX($O$2:$O$34,INT(A347/$Z$1)+2)</f>
        <v>88.594847157959862</v>
      </c>
      <c r="H347">
        <f t="shared" ca="1" si="43"/>
        <v>-8.180697205955223E-2</v>
      </c>
      <c r="I347">
        <f t="shared" ca="1" si="44"/>
        <v>-2.0451743014888057</v>
      </c>
      <c r="J347" s="3">
        <f t="shared" ca="1" si="45"/>
        <v>89.167495962376734</v>
      </c>
      <c r="K347" s="3">
        <f t="shared" ca="1" si="46"/>
        <v>-1.2712380198067308E-2</v>
      </c>
      <c r="L347" s="3"/>
    </row>
    <row r="348" spans="1:12" x14ac:dyDescent="0.3">
      <c r="A348">
        <v>346</v>
      </c>
      <c r="B348" s="2">
        <f t="shared" si="40"/>
        <v>5110.7828655834564</v>
      </c>
      <c r="C348" s="2">
        <f t="shared" si="41"/>
        <v>3.2802157840748675E-3</v>
      </c>
      <c r="D348" s="2">
        <f t="shared" si="42"/>
        <v>31.707992835381162</v>
      </c>
      <c r="E348" s="3">
        <f t="shared" si="47"/>
        <v>89.074387103686092</v>
      </c>
      <c r="F348" cm="1">
        <f t="array" aca="1" ref="F348" ca="1">INDEX($O$2:$O$34,INT(A348/$Z$1)+1)</f>
        <v>91.212670263865533</v>
      </c>
      <c r="G348" cm="1">
        <f t="array" aca="1" ref="G348" ca="1">INDEX($O$2:$O$34,INT(A348/$Z$1)+2)</f>
        <v>88.594847157959862</v>
      </c>
      <c r="H348">
        <f t="shared" ca="1" si="43"/>
        <v>-8.180697205955223E-2</v>
      </c>
      <c r="I348">
        <f t="shared" ca="1" si="44"/>
        <v>-2.126981273548358</v>
      </c>
      <c r="J348" s="3">
        <f t="shared" ca="1" si="45"/>
        <v>89.08568899031718</v>
      </c>
      <c r="K348" s="3">
        <f t="shared" ca="1" si="46"/>
        <v>-1.1301886631088109E-2</v>
      </c>
      <c r="L348" s="3"/>
    </row>
    <row r="349" spans="1:12" x14ac:dyDescent="0.3">
      <c r="A349">
        <v>347</v>
      </c>
      <c r="B349" s="2">
        <f t="shared" si="40"/>
        <v>5133.1360946745563</v>
      </c>
      <c r="C349" s="2">
        <f t="shared" si="41"/>
        <v>3.2806956191993248E-3</v>
      </c>
      <c r="D349" s="2">
        <f t="shared" si="42"/>
        <v>31.663404251155896</v>
      </c>
      <c r="E349" s="3">
        <f t="shared" si="47"/>
        <v>88.994127652080607</v>
      </c>
      <c r="F349" cm="1">
        <f t="array" aca="1" ref="F349" ca="1">INDEX($O$2:$O$34,INT(A349/$Z$1)+1)</f>
        <v>91.212670263865533</v>
      </c>
      <c r="G349" cm="1">
        <f t="array" aca="1" ref="G349" ca="1">INDEX($O$2:$O$34,INT(A349/$Z$1)+2)</f>
        <v>88.594847157959862</v>
      </c>
      <c r="H349">
        <f t="shared" ca="1" si="43"/>
        <v>-8.180697205955223E-2</v>
      </c>
      <c r="I349">
        <f t="shared" ca="1" si="44"/>
        <v>-2.2087882456079102</v>
      </c>
      <c r="J349" s="3">
        <f t="shared" ca="1" si="45"/>
        <v>89.003882018257627</v>
      </c>
      <c r="K349" s="3">
        <f t="shared" ca="1" si="46"/>
        <v>-9.7543661770203016E-3</v>
      </c>
      <c r="L349" s="3"/>
    </row>
    <row r="350" spans="1:12" x14ac:dyDescent="0.3">
      <c r="A350">
        <v>348</v>
      </c>
      <c r="B350" s="2">
        <f t="shared" si="40"/>
        <v>5155.5555555555557</v>
      </c>
      <c r="C350" s="2">
        <f t="shared" si="41"/>
        <v>3.2811747817983925E-3</v>
      </c>
      <c r="D350" s="2">
        <f t="shared" si="42"/>
        <v>31.618891174979126</v>
      </c>
      <c r="E350" s="3">
        <f t="shared" si="47"/>
        <v>88.914004114962424</v>
      </c>
      <c r="F350" cm="1">
        <f t="array" aca="1" ref="F350" ca="1">INDEX($O$2:$O$34,INT(A350/$Z$1)+1)</f>
        <v>91.212670263865533</v>
      </c>
      <c r="G350" cm="1">
        <f t="array" aca="1" ref="G350" ca="1">INDEX($O$2:$O$34,INT(A350/$Z$1)+2)</f>
        <v>88.594847157959862</v>
      </c>
      <c r="H350">
        <f t="shared" ca="1" si="43"/>
        <v>-8.180697205955223E-2</v>
      </c>
      <c r="I350">
        <f t="shared" ca="1" si="44"/>
        <v>-2.2905952176674624</v>
      </c>
      <c r="J350" s="3">
        <f t="shared" ca="1" si="45"/>
        <v>88.922075046198074</v>
      </c>
      <c r="K350" s="3">
        <f t="shared" ca="1" si="46"/>
        <v>-8.0709312356503915E-3</v>
      </c>
      <c r="L350" s="3"/>
    </row>
    <row r="351" spans="1:12" x14ac:dyDescent="0.3">
      <c r="A351">
        <v>349</v>
      </c>
      <c r="B351" s="2">
        <f t="shared" si="40"/>
        <v>5178.0415430267067</v>
      </c>
      <c r="C351" s="2">
        <f t="shared" si="41"/>
        <v>3.2816532778258112E-3</v>
      </c>
      <c r="D351" s="2">
        <f t="shared" si="42"/>
        <v>31.574452993561977</v>
      </c>
      <c r="E351" s="3">
        <f t="shared" si="47"/>
        <v>88.834015388411558</v>
      </c>
      <c r="F351" cm="1">
        <f t="array" aca="1" ref="F351" ca="1">INDEX($O$2:$O$34,INT(A351/$Z$1)+1)</f>
        <v>91.212670263865533</v>
      </c>
      <c r="G351" cm="1">
        <f t="array" aca="1" ref="G351" ca="1">INDEX($O$2:$O$34,INT(A351/$Z$1)+2)</f>
        <v>88.594847157959862</v>
      </c>
      <c r="H351">
        <f t="shared" ca="1" si="43"/>
        <v>-8.180697205955223E-2</v>
      </c>
      <c r="I351">
        <f t="shared" ca="1" si="44"/>
        <v>-2.3724021897270147</v>
      </c>
      <c r="J351" s="3">
        <f t="shared" ca="1" si="45"/>
        <v>88.840268074138521</v>
      </c>
      <c r="K351" s="3">
        <f t="shared" ca="1" si="46"/>
        <v>-6.2526857269631364E-3</v>
      </c>
      <c r="L351" s="3"/>
    </row>
    <row r="352" spans="1:12" x14ac:dyDescent="0.3">
      <c r="A352">
        <v>350</v>
      </c>
      <c r="B352" s="2">
        <f t="shared" si="40"/>
        <v>5200.5943536404156</v>
      </c>
      <c r="C352" s="2">
        <f t="shared" si="41"/>
        <v>3.2821311131935173E-3</v>
      </c>
      <c r="D352" s="2">
        <f t="shared" si="42"/>
        <v>31.53008909826849</v>
      </c>
      <c r="E352" s="3">
        <f t="shared" si="47"/>
        <v>88.754160376883277</v>
      </c>
      <c r="F352" cm="1">
        <f t="array" aca="1" ref="F352" ca="1">INDEX($O$2:$O$34,INT(A352/$Z$1)+1)</f>
        <v>91.212670263865533</v>
      </c>
      <c r="G352" cm="1">
        <f t="array" aca="1" ref="G352" ca="1">INDEX($O$2:$O$34,INT(A352/$Z$1)+2)</f>
        <v>88.594847157959862</v>
      </c>
      <c r="H352">
        <f t="shared" ca="1" si="43"/>
        <v>-8.180697205955223E-2</v>
      </c>
      <c r="I352">
        <f t="shared" ca="1" si="44"/>
        <v>-2.4542091617865669</v>
      </c>
      <c r="J352" s="3">
        <f t="shared" ca="1" si="45"/>
        <v>88.758461102078968</v>
      </c>
      <c r="K352" s="3">
        <f t="shared" ca="1" si="46"/>
        <v>-4.3007251956908021E-3</v>
      </c>
      <c r="L352" s="3"/>
    </row>
    <row r="353" spans="1:12" x14ac:dyDescent="0.3">
      <c r="A353">
        <v>351</v>
      </c>
      <c r="B353" s="2">
        <f t="shared" si="40"/>
        <v>5223.2142857142853</v>
      </c>
      <c r="C353" s="2">
        <f t="shared" si="41"/>
        <v>3.2826082937721756E-3</v>
      </c>
      <c r="D353" s="2">
        <f t="shared" si="42"/>
        <v>31.485798885056852</v>
      </c>
      <c r="E353" s="3">
        <f t="shared" si="47"/>
        <v>88.67443799310233</v>
      </c>
      <c r="F353" cm="1">
        <f t="array" aca="1" ref="F353" ca="1">INDEX($O$2:$O$34,INT(A353/$Z$1)+1)</f>
        <v>91.212670263865533</v>
      </c>
      <c r="G353" cm="1">
        <f t="array" aca="1" ref="G353" ca="1">INDEX($O$2:$O$34,INT(A353/$Z$1)+2)</f>
        <v>88.594847157959862</v>
      </c>
      <c r="H353">
        <f t="shared" ca="1" si="43"/>
        <v>-8.180697205955223E-2</v>
      </c>
      <c r="I353">
        <f t="shared" ca="1" si="44"/>
        <v>-2.5360161338461191</v>
      </c>
      <c r="J353" s="3">
        <f t="shared" ca="1" si="45"/>
        <v>88.676654130019415</v>
      </c>
      <c r="K353" s="3">
        <f t="shared" ca="1" si="46"/>
        <v>-2.2161369170845546E-3</v>
      </c>
      <c r="L353" s="3"/>
    </row>
    <row r="354" spans="1:12" x14ac:dyDescent="0.3">
      <c r="A354">
        <v>352</v>
      </c>
      <c r="B354" s="2">
        <f t="shared" si="40"/>
        <v>5245.9016393442625</v>
      </c>
      <c r="C354" s="2">
        <f t="shared" si="41"/>
        <v>3.2830848253917046E-3</v>
      </c>
      <c r="D354" s="2">
        <f t="shared" si="42"/>
        <v>31.441581754422145</v>
      </c>
      <c r="E354" s="3">
        <f t="shared" si="47"/>
        <v>88.594847157959862</v>
      </c>
      <c r="F354" cm="1">
        <f t="array" aca="1" ref="F354" ca="1">INDEX($O$2:$O$34,INT(A354/$Z$1)+1)</f>
        <v>88.594847157959862</v>
      </c>
      <c r="G354" cm="1">
        <f t="array" aca="1" ref="G354" ca="1">INDEX($O$2:$O$34,INT(A354/$Z$1)+2)</f>
        <v>86.111332469210851</v>
      </c>
      <c r="H354">
        <f t="shared" ca="1" si="43"/>
        <v>-7.7609834023406599E-2</v>
      </c>
      <c r="I354">
        <f t="shared" ca="1" si="44"/>
        <v>0</v>
      </c>
      <c r="J354" s="3">
        <f t="shared" ca="1" si="45"/>
        <v>88.594847157959862</v>
      </c>
      <c r="K354" s="3">
        <f t="shared" ca="1" si="46"/>
        <v>0</v>
      </c>
      <c r="L354" s="3"/>
    </row>
    <row r="355" spans="1:12" x14ac:dyDescent="0.3">
      <c r="A355">
        <v>353</v>
      </c>
      <c r="B355" s="2">
        <f t="shared" si="40"/>
        <v>5268.6567164179105</v>
      </c>
      <c r="C355" s="2">
        <f t="shared" si="41"/>
        <v>3.2835607138417952E-3</v>
      </c>
      <c r="D355" s="2">
        <f t="shared" si="42"/>
        <v>31.397437111339798</v>
      </c>
      <c r="E355" s="3">
        <f t="shared" si="47"/>
        <v>88.515386800411633</v>
      </c>
      <c r="F355" cm="1">
        <f t="array" aca="1" ref="F355" ca="1">INDEX($O$2:$O$34,INT(A355/$Z$1)+1)</f>
        <v>88.594847157959862</v>
      </c>
      <c r="G355" cm="1">
        <f t="array" aca="1" ref="G355" ca="1">INDEX($O$2:$O$34,INT(A355/$Z$1)+2)</f>
        <v>86.111332469210851</v>
      </c>
      <c r="H355">
        <f t="shared" ca="1" si="43"/>
        <v>-7.7609834023406599E-2</v>
      </c>
      <c r="I355">
        <f t="shared" ca="1" si="44"/>
        <v>-7.7609834023406599E-2</v>
      </c>
      <c r="J355" s="3">
        <f t="shared" ca="1" si="45"/>
        <v>88.517237323936456</v>
      </c>
      <c r="K355" s="3">
        <f t="shared" ca="1" si="46"/>
        <v>-1.8505235248227336E-3</v>
      </c>
      <c r="L355" s="3"/>
    </row>
    <row r="356" spans="1:12" x14ac:dyDescent="0.3">
      <c r="A356">
        <v>354</v>
      </c>
      <c r="B356" s="2">
        <f t="shared" si="40"/>
        <v>5291.4798206278028</v>
      </c>
      <c r="C356" s="2">
        <f t="shared" si="41"/>
        <v>3.2840359648724201E-3</v>
      </c>
      <c r="D356" s="2">
        <f t="shared" si="42"/>
        <v>31.35336436520987</v>
      </c>
      <c r="E356" s="3">
        <f t="shared" si="47"/>
        <v>88.436055857377767</v>
      </c>
      <c r="F356" cm="1">
        <f t="array" aca="1" ref="F356" ca="1">INDEX($O$2:$O$34,INT(A356/$Z$1)+1)</f>
        <v>88.594847157959862</v>
      </c>
      <c r="G356" cm="1">
        <f t="array" aca="1" ref="G356" ca="1">INDEX($O$2:$O$34,INT(A356/$Z$1)+2)</f>
        <v>86.111332469210851</v>
      </c>
      <c r="H356">
        <f t="shared" ca="1" si="43"/>
        <v>-7.7609834023406599E-2</v>
      </c>
      <c r="I356">
        <f t="shared" ca="1" si="44"/>
        <v>-0.1552196680468132</v>
      </c>
      <c r="J356" s="3">
        <f t="shared" ca="1" si="45"/>
        <v>88.43962748991305</v>
      </c>
      <c r="K356" s="3">
        <f t="shared" ca="1" si="46"/>
        <v>-3.5716325352836975E-3</v>
      </c>
      <c r="L356" s="3"/>
    </row>
    <row r="357" spans="1:12" x14ac:dyDescent="0.3">
      <c r="A357">
        <v>355</v>
      </c>
      <c r="B357" s="2">
        <f t="shared" si="40"/>
        <v>5314.3712574850297</v>
      </c>
      <c r="C357" s="2">
        <f t="shared" si="41"/>
        <v>3.2845105841943401E-3</v>
      </c>
      <c r="D357" s="2">
        <f t="shared" si="42"/>
        <v>31.309362929801864</v>
      </c>
      <c r="E357" s="3">
        <f t="shared" si="47"/>
        <v>88.356853273643353</v>
      </c>
      <c r="F357" cm="1">
        <f t="array" aca="1" ref="F357" ca="1">INDEX($O$2:$O$34,INT(A357/$Z$1)+1)</f>
        <v>88.594847157959862</v>
      </c>
      <c r="G357" cm="1">
        <f t="array" aca="1" ref="G357" ca="1">INDEX($O$2:$O$34,INT(A357/$Z$1)+2)</f>
        <v>86.111332469210851</v>
      </c>
      <c r="H357">
        <f t="shared" ca="1" si="43"/>
        <v>-7.7609834023406599E-2</v>
      </c>
      <c r="I357">
        <f t="shared" ca="1" si="44"/>
        <v>-0.2328295020702198</v>
      </c>
      <c r="J357" s="3">
        <f t="shared" ca="1" si="45"/>
        <v>88.362017655889645</v>
      </c>
      <c r="K357" s="3">
        <f t="shared" ca="1" si="46"/>
        <v>-5.1643822462921207E-3</v>
      </c>
      <c r="L357" s="3"/>
    </row>
    <row r="358" spans="1:12" x14ac:dyDescent="0.3">
      <c r="A358">
        <v>356</v>
      </c>
      <c r="B358" s="2">
        <f t="shared" si="40"/>
        <v>5337.3313343328336</v>
      </c>
      <c r="C358" s="2">
        <f t="shared" si="41"/>
        <v>3.2849845774796001E-3</v>
      </c>
      <c r="D358" s="2">
        <f t="shared" si="42"/>
        <v>31.265432223200492</v>
      </c>
      <c r="E358" s="3">
        <f t="shared" si="47"/>
        <v>88.277778001760879</v>
      </c>
      <c r="F358" cm="1">
        <f t="array" aca="1" ref="F358" ca="1">INDEX($O$2:$O$34,INT(A358/$Z$1)+1)</f>
        <v>88.594847157959862</v>
      </c>
      <c r="G358" cm="1">
        <f t="array" aca="1" ref="G358" ca="1">INDEX($O$2:$O$34,INT(A358/$Z$1)+2)</f>
        <v>86.111332469210851</v>
      </c>
      <c r="H358">
        <f t="shared" ca="1" si="43"/>
        <v>-7.7609834023406599E-2</v>
      </c>
      <c r="I358">
        <f t="shared" ca="1" si="44"/>
        <v>-0.31043933609362639</v>
      </c>
      <c r="J358" s="3">
        <f t="shared" ca="1" si="45"/>
        <v>88.284407821866239</v>
      </c>
      <c r="K358" s="3">
        <f t="shared" ca="1" si="46"/>
        <v>-6.6298201053598405E-3</v>
      </c>
      <c r="L358" s="3"/>
    </row>
    <row r="359" spans="1:12" x14ac:dyDescent="0.3">
      <c r="A359">
        <v>357</v>
      </c>
      <c r="B359" s="2">
        <f t="shared" si="40"/>
        <v>5360.3603603603606</v>
      </c>
      <c r="C359" s="2">
        <f t="shared" si="41"/>
        <v>3.285457950362022E-3</v>
      </c>
      <c r="D359" s="2">
        <f t="shared" si="42"/>
        <v>31.221571667752073</v>
      </c>
      <c r="E359" s="3">
        <f t="shared" si="47"/>
        <v>88.198829001953726</v>
      </c>
      <c r="F359" cm="1">
        <f t="array" aca="1" ref="F359" ca="1">INDEX($O$2:$O$34,INT(A359/$Z$1)+1)</f>
        <v>88.594847157959862</v>
      </c>
      <c r="G359" cm="1">
        <f t="array" aca="1" ref="G359" ca="1">INDEX($O$2:$O$34,INT(A359/$Z$1)+2)</f>
        <v>86.111332469210851</v>
      </c>
      <c r="H359">
        <f t="shared" ca="1" si="43"/>
        <v>-7.7609834023406599E-2</v>
      </c>
      <c r="I359">
        <f t="shared" ca="1" si="44"/>
        <v>-0.38804917011703299</v>
      </c>
      <c r="J359" s="3">
        <f t="shared" ca="1" si="45"/>
        <v>88.206797987842833</v>
      </c>
      <c r="K359" s="3">
        <f t="shared" ca="1" si="46"/>
        <v>-7.9689858891072163E-3</v>
      </c>
      <c r="L359" s="3"/>
    </row>
    <row r="360" spans="1:12" x14ac:dyDescent="0.3">
      <c r="A360">
        <v>358</v>
      </c>
      <c r="B360" s="2">
        <f t="shared" si="40"/>
        <v>5383.458646616541</v>
      </c>
      <c r="C360" s="2">
        <f t="shared" si="41"/>
        <v>3.2859307084376873E-3</v>
      </c>
      <c r="D360" s="2">
        <f t="shared" si="42"/>
        <v>31.177780690011957</v>
      </c>
      <c r="E360" s="3">
        <f t="shared" si="47"/>
        <v>88.12000524202152</v>
      </c>
      <c r="F360" cm="1">
        <f t="array" aca="1" ref="F360" ca="1">INDEX($O$2:$O$34,INT(A360/$Z$1)+1)</f>
        <v>88.594847157959862</v>
      </c>
      <c r="G360" cm="1">
        <f t="array" aca="1" ref="G360" ca="1">INDEX($O$2:$O$34,INT(A360/$Z$1)+2)</f>
        <v>86.111332469210851</v>
      </c>
      <c r="H360">
        <f t="shared" ca="1" si="43"/>
        <v>-7.7609834023406599E-2</v>
      </c>
      <c r="I360">
        <f t="shared" ca="1" si="44"/>
        <v>-0.46565900414043959</v>
      </c>
      <c r="J360" s="3">
        <f t="shared" ca="1" si="45"/>
        <v>88.129188153819427</v>
      </c>
      <c r="K360" s="3">
        <f t="shared" ca="1" si="46"/>
        <v>-9.1829117979074226E-3</v>
      </c>
      <c r="L360" s="3"/>
    </row>
    <row r="361" spans="1:12" x14ac:dyDescent="0.3">
      <c r="A361">
        <v>359</v>
      </c>
      <c r="B361" s="2">
        <f t="shared" si="40"/>
        <v>5406.6265060240967</v>
      </c>
      <c r="C361" s="2">
        <f t="shared" si="41"/>
        <v>3.286402857265417E-3</v>
      </c>
      <c r="D361" s="2">
        <f t="shared" si="42"/>
        <v>31.134058720691996</v>
      </c>
      <c r="E361" s="3">
        <f t="shared" si="47"/>
        <v>88.041305697245591</v>
      </c>
      <c r="F361" cm="1">
        <f t="array" aca="1" ref="F361" ca="1">INDEX($O$2:$O$34,INT(A361/$Z$1)+1)</f>
        <v>88.594847157959862</v>
      </c>
      <c r="G361" cm="1">
        <f t="array" aca="1" ref="G361" ca="1">INDEX($O$2:$O$34,INT(A361/$Z$1)+2)</f>
        <v>86.111332469210851</v>
      </c>
      <c r="H361">
        <f t="shared" ca="1" si="43"/>
        <v>-7.7609834023406599E-2</v>
      </c>
      <c r="I361">
        <f t="shared" ca="1" si="44"/>
        <v>-0.54326883816384619</v>
      </c>
      <c r="J361" s="3">
        <f t="shared" ca="1" si="45"/>
        <v>88.051578319796022</v>
      </c>
      <c r="K361" s="3">
        <f t="shared" ca="1" si="46"/>
        <v>-1.0272622550431265E-2</v>
      </c>
      <c r="L361" s="3"/>
    </row>
    <row r="362" spans="1:12" x14ac:dyDescent="0.3">
      <c r="A362">
        <v>360</v>
      </c>
      <c r="B362" s="2">
        <f t="shared" si="40"/>
        <v>5429.8642533936654</v>
      </c>
      <c r="C362" s="2">
        <f t="shared" si="41"/>
        <v>3.2868744023672428E-3</v>
      </c>
      <c r="D362" s="2">
        <f t="shared" si="42"/>
        <v>31.090405194609559</v>
      </c>
      <c r="E362" s="3">
        <f t="shared" si="47"/>
        <v>87.962729350297209</v>
      </c>
      <c r="F362" cm="1">
        <f t="array" aca="1" ref="F362" ca="1">INDEX($O$2:$O$34,INT(A362/$Z$1)+1)</f>
        <v>88.594847157959862</v>
      </c>
      <c r="G362" cm="1">
        <f t="array" aca="1" ref="G362" ca="1">INDEX($O$2:$O$34,INT(A362/$Z$1)+2)</f>
        <v>86.111332469210851</v>
      </c>
      <c r="H362">
        <f t="shared" ca="1" si="43"/>
        <v>-7.7609834023406599E-2</v>
      </c>
      <c r="I362">
        <f t="shared" ca="1" si="44"/>
        <v>-0.62087867218725279</v>
      </c>
      <c r="J362" s="3">
        <f t="shared" ca="1" si="45"/>
        <v>87.973968485772616</v>
      </c>
      <c r="K362" s="3">
        <f t="shared" ca="1" si="46"/>
        <v>-1.123913547540667E-2</v>
      </c>
      <c r="L362" s="3"/>
    </row>
    <row r="363" spans="1:12" x14ac:dyDescent="0.3">
      <c r="A363">
        <v>361</v>
      </c>
      <c r="B363" s="2">
        <f t="shared" si="40"/>
        <v>5453.1722054380662</v>
      </c>
      <c r="C363" s="2">
        <f t="shared" si="41"/>
        <v>3.2873453492288742E-3</v>
      </c>
      <c r="D363" s="2">
        <f t="shared" si="42"/>
        <v>31.046819550636542</v>
      </c>
      <c r="E363" s="3">
        <f t="shared" si="47"/>
        <v>87.884275191145775</v>
      </c>
      <c r="F363" cm="1">
        <f t="array" aca="1" ref="F363" ca="1">INDEX($O$2:$O$34,INT(A363/$Z$1)+1)</f>
        <v>88.594847157959862</v>
      </c>
      <c r="G363" cm="1">
        <f t="array" aca="1" ref="G363" ca="1">INDEX($O$2:$O$34,INT(A363/$Z$1)+2)</f>
        <v>86.111332469210851</v>
      </c>
      <c r="H363">
        <f t="shared" ca="1" si="43"/>
        <v>-7.7609834023406599E-2</v>
      </c>
      <c r="I363">
        <f t="shared" ca="1" si="44"/>
        <v>-0.69848850621065939</v>
      </c>
      <c r="J363" s="3">
        <f t="shared" ca="1" si="45"/>
        <v>87.896358651749196</v>
      </c>
      <c r="K363" s="3">
        <f t="shared" ca="1" si="46"/>
        <v>-1.2083460603420804E-2</v>
      </c>
      <c r="L363" s="3"/>
    </row>
    <row r="364" spans="1:12" x14ac:dyDescent="0.3">
      <c r="A364">
        <v>362</v>
      </c>
      <c r="B364" s="2">
        <f t="shared" si="40"/>
        <v>5476.5506807866868</v>
      </c>
      <c r="C364" s="2">
        <f t="shared" si="41"/>
        <v>3.2878157033001572E-3</v>
      </c>
      <c r="D364" s="2">
        <f t="shared" si="42"/>
        <v>31.003301231649459</v>
      </c>
      <c r="E364" s="3">
        <f t="shared" si="47"/>
        <v>87.805942216969029</v>
      </c>
      <c r="F364" cm="1">
        <f t="array" aca="1" ref="F364" ca="1">INDEX($O$2:$O$34,INT(A364/$Z$1)+1)</f>
        <v>88.594847157959862</v>
      </c>
      <c r="G364" cm="1">
        <f t="array" aca="1" ref="G364" ca="1">INDEX($O$2:$O$34,INT(A364/$Z$1)+2)</f>
        <v>86.111332469210851</v>
      </c>
      <c r="H364">
        <f t="shared" ca="1" si="43"/>
        <v>-7.7609834023406599E-2</v>
      </c>
      <c r="I364">
        <f t="shared" ca="1" si="44"/>
        <v>-0.77609834023406599</v>
      </c>
      <c r="J364" s="3">
        <f t="shared" ca="1" si="45"/>
        <v>87.81874881772579</v>
      </c>
      <c r="K364" s="3">
        <f t="shared" ca="1" si="46"/>
        <v>-1.28066007567611E-2</v>
      </c>
      <c r="L364" s="3"/>
    </row>
    <row r="365" spans="1:12" x14ac:dyDescent="0.3">
      <c r="A365">
        <v>363</v>
      </c>
      <c r="B365" s="2">
        <f t="shared" si="40"/>
        <v>5500</v>
      </c>
      <c r="C365" s="2">
        <f t="shared" si="41"/>
        <v>3.2882854699955288E-3</v>
      </c>
      <c r="D365" s="2">
        <f t="shared" si="42"/>
        <v>30.959849684480048</v>
      </c>
      <c r="E365" s="3">
        <f t="shared" si="47"/>
        <v>87.727729432064081</v>
      </c>
      <c r="F365" cm="1">
        <f t="array" aca="1" ref="F365" ca="1">INDEX($O$2:$O$34,INT(A365/$Z$1)+1)</f>
        <v>88.594847157959862</v>
      </c>
      <c r="G365" cm="1">
        <f t="array" aca="1" ref="G365" ca="1">INDEX($O$2:$O$34,INT(A365/$Z$1)+2)</f>
        <v>86.111332469210851</v>
      </c>
      <c r="H365">
        <f t="shared" ca="1" si="43"/>
        <v>-7.7609834023406599E-2</v>
      </c>
      <c r="I365">
        <f t="shared" ca="1" si="44"/>
        <v>-0.85370817425747259</v>
      </c>
      <c r="J365" s="3">
        <f t="shared" ca="1" si="45"/>
        <v>87.741138983702385</v>
      </c>
      <c r="K365" s="3">
        <f t="shared" ca="1" si="46"/>
        <v>-1.3409551638304151E-2</v>
      </c>
      <c r="L365" s="3"/>
    </row>
    <row r="366" spans="1:12" x14ac:dyDescent="0.3">
      <c r="A366">
        <v>364</v>
      </c>
      <c r="B366" s="2">
        <f t="shared" si="40"/>
        <v>5523.5204855842185</v>
      </c>
      <c r="C366" s="2">
        <f t="shared" si="41"/>
        <v>3.2887546546944662E-3</v>
      </c>
      <c r="D366" s="2">
        <f t="shared" si="42"/>
        <v>30.916464359866552</v>
      </c>
      <c r="E366" s="3">
        <f t="shared" si="47"/>
        <v>87.649635847759797</v>
      </c>
      <c r="F366" cm="1">
        <f t="array" aca="1" ref="F366" ca="1">INDEX($O$2:$O$34,INT(A366/$Z$1)+1)</f>
        <v>88.594847157959862</v>
      </c>
      <c r="G366" cm="1">
        <f t="array" aca="1" ref="G366" ca="1">INDEX($O$2:$O$34,INT(A366/$Z$1)+2)</f>
        <v>86.111332469210851</v>
      </c>
      <c r="H366">
        <f t="shared" ca="1" si="43"/>
        <v>-7.7609834023406599E-2</v>
      </c>
      <c r="I366">
        <f t="shared" ca="1" si="44"/>
        <v>-0.93131800828087918</v>
      </c>
      <c r="J366" s="3">
        <f t="shared" ca="1" si="45"/>
        <v>87.663529149678979</v>
      </c>
      <c r="K366" s="3">
        <f t="shared" ca="1" si="46"/>
        <v>-1.3893301919182477E-2</v>
      </c>
      <c r="L366" s="3"/>
    </row>
    <row r="367" spans="1:12" x14ac:dyDescent="0.3">
      <c r="A367">
        <v>365</v>
      </c>
      <c r="B367" s="2">
        <f t="shared" si="40"/>
        <v>5547.1124620060791</v>
      </c>
      <c r="C367" s="2">
        <f t="shared" si="41"/>
        <v>3.2892232627419276E-3</v>
      </c>
      <c r="D367" s="2">
        <f t="shared" si="42"/>
        <v>30.873144712405633</v>
      </c>
      <c r="E367" s="3">
        <f t="shared" si="47"/>
        <v>87.571660482330145</v>
      </c>
      <c r="F367" cm="1">
        <f t="array" aca="1" ref="F367" ca="1">INDEX($O$2:$O$34,INT(A367/$Z$1)+1)</f>
        <v>88.594847157959862</v>
      </c>
      <c r="G367" cm="1">
        <f t="array" aca="1" ref="G367" ca="1">INDEX($O$2:$O$34,INT(A367/$Z$1)+2)</f>
        <v>86.111332469210851</v>
      </c>
      <c r="H367">
        <f t="shared" ca="1" si="43"/>
        <v>-7.7609834023406599E-2</v>
      </c>
      <c r="I367">
        <f t="shared" ca="1" si="44"/>
        <v>-1.0089278423042858</v>
      </c>
      <c r="J367" s="3">
        <f t="shared" ca="1" si="45"/>
        <v>87.585919315655573</v>
      </c>
      <c r="K367" s="3">
        <f t="shared" ca="1" si="46"/>
        <v>-1.42588333254281E-2</v>
      </c>
      <c r="L367" s="3"/>
    </row>
    <row r="368" spans="1:12" x14ac:dyDescent="0.3">
      <c r="A368">
        <v>366</v>
      </c>
      <c r="B368" s="2">
        <f t="shared" si="40"/>
        <v>5570.7762557077622</v>
      </c>
      <c r="C368" s="2">
        <f t="shared" si="41"/>
        <v>3.2896912994487913E-3</v>
      </c>
      <c r="D368" s="2">
        <f t="shared" si="42"/>
        <v>30.829890200504963</v>
      </c>
      <c r="E368" s="3">
        <f t="shared" si="47"/>
        <v>87.49380236090893</v>
      </c>
      <c r="F368" cm="1">
        <f t="array" aca="1" ref="F368" ca="1">INDEX($O$2:$O$34,INT(A368/$Z$1)+1)</f>
        <v>88.594847157959862</v>
      </c>
      <c r="G368" cm="1">
        <f t="array" aca="1" ref="G368" ca="1">INDEX($O$2:$O$34,INT(A368/$Z$1)+2)</f>
        <v>86.111332469210851</v>
      </c>
      <c r="H368">
        <f t="shared" ca="1" si="43"/>
        <v>-7.7609834023406599E-2</v>
      </c>
      <c r="I368">
        <f t="shared" ca="1" si="44"/>
        <v>-1.0865376763276924</v>
      </c>
      <c r="J368" s="3">
        <f t="shared" ca="1" si="45"/>
        <v>87.508309481632168</v>
      </c>
      <c r="K368" s="3">
        <f t="shared" ca="1" si="46"/>
        <v>-1.4507120723237676E-2</v>
      </c>
      <c r="L368" s="3"/>
    </row>
    <row r="369" spans="1:12" x14ac:dyDescent="0.3">
      <c r="A369">
        <v>367</v>
      </c>
      <c r="B369" s="2">
        <f t="shared" si="40"/>
        <v>5594.5121951219517</v>
      </c>
      <c r="C369" s="2">
        <f t="shared" si="41"/>
        <v>3.2901587700922847E-3</v>
      </c>
      <c r="D369" s="2">
        <f t="shared" si="42"/>
        <v>30.786700286336441</v>
      </c>
      <c r="E369" s="3">
        <f t="shared" si="47"/>
        <v>87.41606051540559</v>
      </c>
      <c r="F369" cm="1">
        <f t="array" aca="1" ref="F369" ca="1">INDEX($O$2:$O$34,INT(A369/$Z$1)+1)</f>
        <v>88.594847157959862</v>
      </c>
      <c r="G369" cm="1">
        <f t="array" aca="1" ref="G369" ca="1">INDEX($O$2:$O$34,INT(A369/$Z$1)+2)</f>
        <v>86.111332469210851</v>
      </c>
      <c r="H369">
        <f t="shared" ca="1" si="43"/>
        <v>-7.7609834023406599E-2</v>
      </c>
      <c r="I369">
        <f t="shared" ca="1" si="44"/>
        <v>-1.164147510351099</v>
      </c>
      <c r="J369" s="3">
        <f t="shared" ca="1" si="45"/>
        <v>87.430699647608762</v>
      </c>
      <c r="K369" s="3">
        <f t="shared" ca="1" si="46"/>
        <v>-1.4639132203171812E-2</v>
      </c>
      <c r="L369" s="3"/>
    </row>
    <row r="370" spans="1:12" x14ac:dyDescent="0.3">
      <c r="A370">
        <v>368</v>
      </c>
      <c r="B370" s="2">
        <f t="shared" si="40"/>
        <v>5618.320610687023</v>
      </c>
      <c r="C370" s="2">
        <f t="shared" si="41"/>
        <v>3.2906256799164124E-3</v>
      </c>
      <c r="D370" s="2">
        <f t="shared" si="42"/>
        <v>30.743574435789924</v>
      </c>
      <c r="E370" s="3">
        <f t="shared" si="47"/>
        <v>87.338433984421869</v>
      </c>
      <c r="F370" cm="1">
        <f t="array" aca="1" ref="F370" ca="1">INDEX($O$2:$O$34,INT(A370/$Z$1)+1)</f>
        <v>88.594847157959862</v>
      </c>
      <c r="G370" cm="1">
        <f t="array" aca="1" ref="G370" ca="1">INDEX($O$2:$O$34,INT(A370/$Z$1)+2)</f>
        <v>86.111332469210851</v>
      </c>
      <c r="H370">
        <f t="shared" ca="1" si="43"/>
        <v>-7.7609834023406599E-2</v>
      </c>
      <c r="I370">
        <f t="shared" ca="1" si="44"/>
        <v>-1.2417573443745056</v>
      </c>
      <c r="J370" s="3">
        <f t="shared" ca="1" si="45"/>
        <v>87.353089813585356</v>
      </c>
      <c r="K370" s="3">
        <f t="shared" ca="1" si="46"/>
        <v>-1.465582916348751E-2</v>
      </c>
      <c r="L370" s="3"/>
    </row>
    <row r="371" spans="1:12" x14ac:dyDescent="0.3">
      <c r="A371">
        <v>369</v>
      </c>
      <c r="B371" s="2">
        <f t="shared" si="40"/>
        <v>5642.2018348623851</v>
      </c>
      <c r="C371" s="2">
        <f t="shared" si="41"/>
        <v>3.2910920341323768E-3</v>
      </c>
      <c r="D371" s="2">
        <f t="shared" si="42"/>
        <v>30.700512118427525</v>
      </c>
      <c r="E371" s="3">
        <f t="shared" si="47"/>
        <v>87.260921813169546</v>
      </c>
      <c r="F371" cm="1">
        <f t="array" aca="1" ref="F371" ca="1">INDEX($O$2:$O$34,INT(A371/$Z$1)+1)</f>
        <v>88.594847157959862</v>
      </c>
      <c r="G371" cm="1">
        <f t="array" aca="1" ref="G371" ca="1">INDEX($O$2:$O$34,INT(A371/$Z$1)+2)</f>
        <v>86.111332469210851</v>
      </c>
      <c r="H371">
        <f t="shared" ca="1" si="43"/>
        <v>-7.7609834023406599E-2</v>
      </c>
      <c r="I371">
        <f t="shared" ca="1" si="44"/>
        <v>-1.3193671783979122</v>
      </c>
      <c r="J371" s="3">
        <f t="shared" ca="1" si="45"/>
        <v>87.27547997956195</v>
      </c>
      <c r="K371" s="3">
        <f t="shared" ca="1" si="46"/>
        <v>-1.4558166392404814E-2</v>
      </c>
      <c r="L371" s="3"/>
    </row>
    <row r="372" spans="1:12" x14ac:dyDescent="0.3">
      <c r="A372">
        <v>370</v>
      </c>
      <c r="B372" s="2">
        <f t="shared" si="40"/>
        <v>5666.1562021439513</v>
      </c>
      <c r="C372" s="2">
        <f t="shared" si="41"/>
        <v>3.2915578379189912E-3</v>
      </c>
      <c r="D372" s="2">
        <f t="shared" si="42"/>
        <v>30.657512807438991</v>
      </c>
      <c r="E372" s="3">
        <f t="shared" si="47"/>
        <v>87.183523053390189</v>
      </c>
      <c r="F372" cm="1">
        <f t="array" aca="1" ref="F372" ca="1">INDEX($O$2:$O$34,INT(A372/$Z$1)+1)</f>
        <v>88.594847157959862</v>
      </c>
      <c r="G372" cm="1">
        <f t="array" aca="1" ref="G372" ca="1">INDEX($O$2:$O$34,INT(A372/$Z$1)+2)</f>
        <v>86.111332469210851</v>
      </c>
      <c r="H372">
        <f t="shared" ca="1" si="43"/>
        <v>-7.7609834023406599E-2</v>
      </c>
      <c r="I372">
        <f t="shared" ca="1" si="44"/>
        <v>-1.3969770124213188</v>
      </c>
      <c r="J372" s="3">
        <f t="shared" ca="1" si="45"/>
        <v>87.197870145538545</v>
      </c>
      <c r="K372" s="3">
        <f t="shared" ca="1" si="46"/>
        <v>-1.43470921483555E-2</v>
      </c>
      <c r="L372" s="3"/>
    </row>
    <row r="373" spans="1:12" x14ac:dyDescent="0.3">
      <c r="A373">
        <v>371</v>
      </c>
      <c r="B373" s="2">
        <f t="shared" si="40"/>
        <v>5690.1840490797549</v>
      </c>
      <c r="C373" s="2">
        <f t="shared" si="41"/>
        <v>3.2920230964230937E-3</v>
      </c>
      <c r="D373" s="2">
        <f t="shared" si="42"/>
        <v>30.614575979596736</v>
      </c>
      <c r="E373" s="3">
        <f t="shared" si="47"/>
        <v>87.106236763274126</v>
      </c>
      <c r="F373" cm="1">
        <f t="array" aca="1" ref="F373" ca="1">INDEX($O$2:$O$34,INT(A373/$Z$1)+1)</f>
        <v>88.594847157959862</v>
      </c>
      <c r="G373" cm="1">
        <f t="array" aca="1" ref="G373" ca="1">INDEX($O$2:$O$34,INT(A373/$Z$1)+2)</f>
        <v>86.111332469210851</v>
      </c>
      <c r="H373">
        <f t="shared" ca="1" si="43"/>
        <v>-7.7609834023406599E-2</v>
      </c>
      <c r="I373">
        <f t="shared" ca="1" si="44"/>
        <v>-1.4745868464447254</v>
      </c>
      <c r="J373" s="3">
        <f t="shared" ca="1" si="45"/>
        <v>87.120260311515139</v>
      </c>
      <c r="K373" s="3">
        <f t="shared" ca="1" si="46"/>
        <v>-1.4023548241013373E-2</v>
      </c>
      <c r="L373" s="3"/>
    </row>
    <row r="374" spans="1:12" x14ac:dyDescent="0.3">
      <c r="A374">
        <v>372</v>
      </c>
      <c r="B374" s="2">
        <f t="shared" si="40"/>
        <v>5714.2857142857147</v>
      </c>
      <c r="C374" s="2">
        <f t="shared" si="41"/>
        <v>3.2924878147599494E-3</v>
      </c>
      <c r="D374" s="2">
        <f t="shared" si="42"/>
        <v>30.571701115212363</v>
      </c>
      <c r="E374" s="3">
        <f t="shared" si="47"/>
        <v>87.029062007382251</v>
      </c>
      <c r="F374" cm="1">
        <f t="array" aca="1" ref="F374" ca="1">INDEX($O$2:$O$34,INT(A374/$Z$1)+1)</f>
        <v>88.594847157959862</v>
      </c>
      <c r="G374" cm="1">
        <f t="array" aca="1" ref="G374" ca="1">INDEX($O$2:$O$34,INT(A374/$Z$1)+2)</f>
        <v>86.111332469210851</v>
      </c>
      <c r="H374">
        <f t="shared" ca="1" si="43"/>
        <v>-7.7609834023406599E-2</v>
      </c>
      <c r="I374">
        <f t="shared" ca="1" si="44"/>
        <v>-1.552196680468132</v>
      </c>
      <c r="J374" s="3">
        <f t="shared" ca="1" si="45"/>
        <v>87.042650477491733</v>
      </c>
      <c r="K374" s="3">
        <f t="shared" ca="1" si="46"/>
        <v>-1.3588470109482387E-2</v>
      </c>
      <c r="L374" s="3"/>
    </row>
    <row r="375" spans="1:12" x14ac:dyDescent="0.3">
      <c r="A375">
        <v>373</v>
      </c>
      <c r="B375" s="2">
        <f t="shared" si="40"/>
        <v>5738.4615384615381</v>
      </c>
      <c r="C375" s="2">
        <f t="shared" si="41"/>
        <v>3.2929519980136523E-3</v>
      </c>
      <c r="D375" s="2">
        <f t="shared" si="42"/>
        <v>30.528887698093342</v>
      </c>
      <c r="E375" s="3">
        <f t="shared" si="47"/>
        <v>86.951997856568013</v>
      </c>
      <c r="F375" cm="1">
        <f t="array" aca="1" ref="F375" ca="1">INDEX($O$2:$O$34,INT(A375/$Z$1)+1)</f>
        <v>88.594847157959862</v>
      </c>
      <c r="G375" cm="1">
        <f t="array" aca="1" ref="G375" ca="1">INDEX($O$2:$O$34,INT(A375/$Z$1)+2)</f>
        <v>86.111332469210851</v>
      </c>
      <c r="H375">
        <f t="shared" ca="1" si="43"/>
        <v>-7.7609834023406599E-2</v>
      </c>
      <c r="I375">
        <f t="shared" ca="1" si="44"/>
        <v>-1.6298065144915386</v>
      </c>
      <c r="J375" s="3">
        <f t="shared" ca="1" si="45"/>
        <v>86.965040643468328</v>
      </c>
      <c r="K375" s="3">
        <f t="shared" ca="1" si="46"/>
        <v>-1.304278690031424E-2</v>
      </c>
      <c r="L375" s="3"/>
    </row>
    <row r="376" spans="1:12" x14ac:dyDescent="0.3">
      <c r="A376">
        <v>374</v>
      </c>
      <c r="B376" s="2">
        <f t="shared" si="40"/>
        <v>5762.7118644067796</v>
      </c>
      <c r="C376" s="2">
        <f t="shared" si="41"/>
        <v>3.2934156512375206E-3</v>
      </c>
      <c r="D376" s="2">
        <f t="shared" si="42"/>
        <v>30.486135215500099</v>
      </c>
      <c r="E376" s="3">
        <f t="shared" si="47"/>
        <v>86.875043387900178</v>
      </c>
      <c r="F376" cm="1">
        <f t="array" aca="1" ref="F376" ca="1">INDEX($O$2:$O$34,INT(A376/$Z$1)+1)</f>
        <v>88.594847157959862</v>
      </c>
      <c r="G376" cm="1">
        <f t="array" aca="1" ref="G376" ca="1">INDEX($O$2:$O$34,INT(A376/$Z$1)+2)</f>
        <v>86.111332469210851</v>
      </c>
      <c r="H376">
        <f t="shared" ca="1" si="43"/>
        <v>-7.7609834023406599E-2</v>
      </c>
      <c r="I376">
        <f t="shared" ca="1" si="44"/>
        <v>-1.7074163485149452</v>
      </c>
      <c r="J376" s="3">
        <f t="shared" ca="1" si="45"/>
        <v>86.887430809444922</v>
      </c>
      <c r="K376" s="3">
        <f t="shared" ca="1" si="46"/>
        <v>-1.238742154474437E-2</v>
      </c>
      <c r="L376" s="3"/>
    </row>
    <row r="377" spans="1:12" x14ac:dyDescent="0.3">
      <c r="A377">
        <v>375</v>
      </c>
      <c r="B377" s="2">
        <f t="shared" si="40"/>
        <v>5787.0370370370374</v>
      </c>
      <c r="C377" s="2">
        <f t="shared" si="41"/>
        <v>3.2938787794544863E-3</v>
      </c>
      <c r="D377" s="2">
        <f t="shared" si="42"/>
        <v>30.443443158103833</v>
      </c>
      <c r="E377" s="3">
        <f t="shared" si="47"/>
        <v>86.798197684586896</v>
      </c>
      <c r="F377" cm="1">
        <f t="array" aca="1" ref="F377" ca="1">INDEX($O$2:$O$34,INT(A377/$Z$1)+1)</f>
        <v>88.594847157959862</v>
      </c>
      <c r="G377" cm="1">
        <f t="array" aca="1" ref="G377" ca="1">INDEX($O$2:$O$34,INT(A377/$Z$1)+2)</f>
        <v>86.111332469210851</v>
      </c>
      <c r="H377">
        <f t="shared" ca="1" si="43"/>
        <v>-7.7609834023406599E-2</v>
      </c>
      <c r="I377">
        <f t="shared" ca="1" si="44"/>
        <v>-1.7850261825383518</v>
      </c>
      <c r="J377" s="3">
        <f t="shared" ca="1" si="45"/>
        <v>86.809820975421516</v>
      </c>
      <c r="K377" s="3">
        <f t="shared" ca="1" si="46"/>
        <v>-1.1623290834620548E-2</v>
      </c>
      <c r="L377" s="3"/>
    </row>
    <row r="378" spans="1:12" x14ac:dyDescent="0.3">
      <c r="A378">
        <v>376</v>
      </c>
      <c r="B378" s="2">
        <f t="shared" si="40"/>
        <v>5811.4374034003094</v>
      </c>
      <c r="C378" s="2">
        <f t="shared" si="41"/>
        <v>3.2943413876574822E-3</v>
      </c>
      <c r="D378" s="2">
        <f t="shared" si="42"/>
        <v>30.400811019945081</v>
      </c>
      <c r="E378" s="3">
        <f t="shared" si="47"/>
        <v>86.721459835901143</v>
      </c>
      <c r="F378" cm="1">
        <f t="array" aca="1" ref="F378" ca="1">INDEX($O$2:$O$34,INT(A378/$Z$1)+1)</f>
        <v>88.594847157959862</v>
      </c>
      <c r="G378" cm="1">
        <f t="array" aca="1" ref="G378" ca="1">INDEX($O$2:$O$34,INT(A378/$Z$1)+2)</f>
        <v>86.111332469210851</v>
      </c>
      <c r="H378">
        <f t="shared" ca="1" si="43"/>
        <v>-7.7609834023406599E-2</v>
      </c>
      <c r="I378">
        <f t="shared" ca="1" si="44"/>
        <v>-1.8626360165617584</v>
      </c>
      <c r="J378" s="3">
        <f t="shared" ca="1" si="45"/>
        <v>86.732211141398096</v>
      </c>
      <c r="K378" s="3">
        <f t="shared" ca="1" si="46"/>
        <v>-1.0751305496953023E-2</v>
      </c>
      <c r="L378" s="3"/>
    </row>
    <row r="379" spans="1:12" x14ac:dyDescent="0.3">
      <c r="A379">
        <v>377</v>
      </c>
      <c r="B379" s="2">
        <f t="shared" si="40"/>
        <v>5835.9133126934985</v>
      </c>
      <c r="C379" s="2">
        <f t="shared" si="41"/>
        <v>3.2948034808098236E-3</v>
      </c>
      <c r="D379" s="2">
        <f t="shared" si="42"/>
        <v>30.358238298392223</v>
      </c>
      <c r="E379" s="3">
        <f t="shared" si="47"/>
        <v>86.644828937105999</v>
      </c>
      <c r="F379" cm="1">
        <f t="array" aca="1" ref="F379" ca="1">INDEX($O$2:$O$34,INT(A379/$Z$1)+1)</f>
        <v>88.594847157959862</v>
      </c>
      <c r="G379" cm="1">
        <f t="array" aca="1" ref="G379" ca="1">INDEX($O$2:$O$34,INT(A379/$Z$1)+2)</f>
        <v>86.111332469210851</v>
      </c>
      <c r="H379">
        <f t="shared" ca="1" si="43"/>
        <v>-7.7609834023406599E-2</v>
      </c>
      <c r="I379">
        <f t="shared" ca="1" si="44"/>
        <v>-1.940245850585165</v>
      </c>
      <c r="J379" s="3">
        <f t="shared" ca="1" si="45"/>
        <v>86.654601307374691</v>
      </c>
      <c r="K379" s="3">
        <f t="shared" ca="1" si="46"/>
        <v>-9.7723702686920433E-3</v>
      </c>
      <c r="L379" s="3"/>
    </row>
    <row r="380" spans="1:12" x14ac:dyDescent="0.3">
      <c r="A380">
        <v>378</v>
      </c>
      <c r="B380" s="2">
        <f t="shared" si="40"/>
        <v>5860.4651162790697</v>
      </c>
      <c r="C380" s="2">
        <f t="shared" si="41"/>
        <v>3.2952650638455828E-3</v>
      </c>
      <c r="D380" s="2">
        <f t="shared" si="42"/>
        <v>30.315724494101119</v>
      </c>
      <c r="E380" s="3">
        <f t="shared" si="47"/>
        <v>86.568304089382011</v>
      </c>
      <c r="F380" cm="1">
        <f t="array" aca="1" ref="F380" ca="1">INDEX($O$2:$O$34,INT(A380/$Z$1)+1)</f>
        <v>88.594847157959862</v>
      </c>
      <c r="G380" cm="1">
        <f t="array" aca="1" ref="G380" ca="1">INDEX($O$2:$O$34,INT(A380/$Z$1)+2)</f>
        <v>86.111332469210851</v>
      </c>
      <c r="H380">
        <f t="shared" ca="1" si="43"/>
        <v>-7.7609834023406599E-2</v>
      </c>
      <c r="I380">
        <f t="shared" ca="1" si="44"/>
        <v>-2.0178556846085716</v>
      </c>
      <c r="J380" s="3">
        <f t="shared" ca="1" si="45"/>
        <v>86.576991473351285</v>
      </c>
      <c r="K380" s="3">
        <f t="shared" ca="1" si="46"/>
        <v>-8.6873839692742649E-3</v>
      </c>
      <c r="L380" s="3"/>
    </row>
    <row r="381" spans="1:12" x14ac:dyDescent="0.3">
      <c r="A381">
        <v>379</v>
      </c>
      <c r="B381" s="2">
        <f t="shared" si="40"/>
        <v>5885.0931677018634</v>
      </c>
      <c r="C381" s="2">
        <f t="shared" si="41"/>
        <v>3.2957261416699632E-3</v>
      </c>
      <c r="D381" s="2">
        <f t="shared" si="42"/>
        <v>30.273269110974866</v>
      </c>
      <c r="E381" s="3">
        <f t="shared" si="47"/>
        <v>86.491884399754753</v>
      </c>
      <c r="F381" cm="1">
        <f t="array" aca="1" ref="F381" ca="1">INDEX($O$2:$O$34,INT(A381/$Z$1)+1)</f>
        <v>88.594847157959862</v>
      </c>
      <c r="G381" cm="1">
        <f t="array" aca="1" ref="G381" ca="1">INDEX($O$2:$O$34,INT(A381/$Z$1)+2)</f>
        <v>86.111332469210851</v>
      </c>
      <c r="H381">
        <f t="shared" ca="1" si="43"/>
        <v>-7.7609834023406599E-2</v>
      </c>
      <c r="I381">
        <f t="shared" ca="1" si="44"/>
        <v>-2.0954655186319782</v>
      </c>
      <c r="J381" s="3">
        <f t="shared" ca="1" si="45"/>
        <v>86.499381639327879</v>
      </c>
      <c r="K381" s="3">
        <f t="shared" ca="1" si="46"/>
        <v>-7.4972395731265351E-3</v>
      </c>
      <c r="L381" s="3"/>
    </row>
    <row r="382" spans="1:12" x14ac:dyDescent="0.3">
      <c r="A382">
        <v>380</v>
      </c>
      <c r="B382" s="2">
        <f t="shared" si="40"/>
        <v>5909.7978227060657</v>
      </c>
      <c r="C382" s="2">
        <f t="shared" si="41"/>
        <v>3.2961867191596667E-3</v>
      </c>
      <c r="D382" s="2">
        <f t="shared" si="42"/>
        <v>30.230871656124236</v>
      </c>
      <c r="E382" s="3">
        <f t="shared" si="47"/>
        <v>86.415568981023625</v>
      </c>
      <c r="F382" cm="1">
        <f t="array" aca="1" ref="F382" ca="1">INDEX($O$2:$O$34,INT(A382/$Z$1)+1)</f>
        <v>88.594847157959862</v>
      </c>
      <c r="G382" cm="1">
        <f t="array" aca="1" ref="G382" ca="1">INDEX($O$2:$O$34,INT(A382/$Z$1)+2)</f>
        <v>86.111332469210851</v>
      </c>
      <c r="H382">
        <f t="shared" ca="1" si="43"/>
        <v>-7.7609834023406599E-2</v>
      </c>
      <c r="I382">
        <f t="shared" ca="1" si="44"/>
        <v>-2.1730753526553848</v>
      </c>
      <c r="J382" s="3">
        <f t="shared" ca="1" si="45"/>
        <v>86.421771805304473</v>
      </c>
      <c r="K382" s="3">
        <f t="shared" ca="1" si="46"/>
        <v>-6.2028242808480627E-3</v>
      </c>
      <c r="L382" s="3"/>
    </row>
    <row r="383" spans="1:12" x14ac:dyDescent="0.3">
      <c r="A383">
        <v>381</v>
      </c>
      <c r="B383" s="2">
        <f t="shared" si="40"/>
        <v>5934.5794392523367</v>
      </c>
      <c r="C383" s="2">
        <f t="shared" si="41"/>
        <v>3.2966468011632558E-3</v>
      </c>
      <c r="D383" s="2">
        <f t="shared" si="42"/>
        <v>30.188531639828625</v>
      </c>
      <c r="E383" s="3">
        <f t="shared" si="47"/>
        <v>86.339356951691528</v>
      </c>
      <c r="F383" cm="1">
        <f t="array" aca="1" ref="F383" ca="1">INDEX($O$2:$O$34,INT(A383/$Z$1)+1)</f>
        <v>88.594847157959862</v>
      </c>
      <c r="G383" cm="1">
        <f t="array" aca="1" ref="G383" ca="1">INDEX($O$2:$O$34,INT(A383/$Z$1)+2)</f>
        <v>86.111332469210851</v>
      </c>
      <c r="H383">
        <f t="shared" ca="1" si="43"/>
        <v>-7.7609834023406599E-2</v>
      </c>
      <c r="I383">
        <f t="shared" ca="1" si="44"/>
        <v>-2.2506851866787914</v>
      </c>
      <c r="J383" s="3">
        <f t="shared" ca="1" si="45"/>
        <v>86.344161971281068</v>
      </c>
      <c r="K383" s="3">
        <f t="shared" ca="1" si="46"/>
        <v>-4.8050195895399384E-3</v>
      </c>
      <c r="L383" s="3"/>
    </row>
    <row r="384" spans="1:12" x14ac:dyDescent="0.3">
      <c r="A384">
        <v>382</v>
      </c>
      <c r="B384" s="2">
        <f t="shared" si="40"/>
        <v>5959.4383775351016</v>
      </c>
      <c r="C384" s="2">
        <f t="shared" si="41"/>
        <v>3.2971063925015154E-3</v>
      </c>
      <c r="D384" s="2">
        <f t="shared" si="42"/>
        <v>30.146248575497111</v>
      </c>
      <c r="E384" s="3">
        <f t="shared" si="47"/>
        <v>86.263247435894797</v>
      </c>
      <c r="F384" cm="1">
        <f t="array" aca="1" ref="F384" ca="1">INDEX($O$2:$O$34,INT(A384/$Z$1)+1)</f>
        <v>88.594847157959862</v>
      </c>
      <c r="G384" cm="1">
        <f t="array" aca="1" ref="G384" ca="1">INDEX($O$2:$O$34,INT(A384/$Z$1)+2)</f>
        <v>86.111332469210851</v>
      </c>
      <c r="H384">
        <f t="shared" ca="1" si="43"/>
        <v>-7.7609834023406599E-2</v>
      </c>
      <c r="I384">
        <f t="shared" ca="1" si="44"/>
        <v>-2.328295020702198</v>
      </c>
      <c r="J384" s="3">
        <f t="shared" ca="1" si="45"/>
        <v>86.266552137257662</v>
      </c>
      <c r="K384" s="3">
        <f t="shared" ca="1" si="46"/>
        <v>-3.3047013628646482E-3</v>
      </c>
      <c r="L384" s="3"/>
    </row>
    <row r="385" spans="1:12" x14ac:dyDescent="0.3">
      <c r="A385">
        <v>383</v>
      </c>
      <c r="B385" s="2">
        <f t="shared" si="40"/>
        <v>5984.375</v>
      </c>
      <c r="C385" s="2">
        <f t="shared" si="41"/>
        <v>3.2975654979678051E-3</v>
      </c>
      <c r="D385" s="2">
        <f t="shared" si="42"/>
        <v>30.104021979630545</v>
      </c>
      <c r="E385" s="3">
        <f t="shared" si="47"/>
        <v>86.187239563334984</v>
      </c>
      <c r="F385" cm="1">
        <f t="array" aca="1" ref="F385" ca="1">INDEX($O$2:$O$34,INT(A385/$Z$1)+1)</f>
        <v>88.594847157959862</v>
      </c>
      <c r="G385" cm="1">
        <f t="array" aca="1" ref="G385" ca="1">INDEX($O$2:$O$34,INT(A385/$Z$1)+2)</f>
        <v>86.111332469210851</v>
      </c>
      <c r="H385">
        <f t="shared" ca="1" si="43"/>
        <v>-7.7609834023406599E-2</v>
      </c>
      <c r="I385">
        <f t="shared" ca="1" si="44"/>
        <v>-2.4059048547256046</v>
      </c>
      <c r="J385" s="3">
        <f t="shared" ca="1" si="45"/>
        <v>86.188942303234256</v>
      </c>
      <c r="K385" s="3">
        <f t="shared" ca="1" si="46"/>
        <v>-1.7027398992723874E-3</v>
      </c>
      <c r="L385" s="3"/>
    </row>
    <row r="386" spans="1:12" x14ac:dyDescent="0.3">
      <c r="A386">
        <v>384</v>
      </c>
      <c r="B386" s="2">
        <f t="shared" ref="B386:B449" si="48">$T$1*A386/($V$1-A386)</f>
        <v>6009.3896713615022</v>
      </c>
      <c r="C386" s="2">
        <f t="shared" ref="C386:C449" si="49">LOG(B386/$T$2)/$T$3 + (1/$X$2)</f>
        <v>3.2980241223284114E-3</v>
      </c>
      <c r="D386" s="2">
        <f t="shared" ref="D386:D449" si="50">1/C386 - 273.15</f>
        <v>30.061851371783803</v>
      </c>
      <c r="E386" s="3">
        <f t="shared" si="47"/>
        <v>86.111332469210851</v>
      </c>
      <c r="F386" cm="1">
        <f t="array" aca="1" ref="F386" ca="1">INDEX($O$2:$O$34,INT(A386/$Z$1)+1)</f>
        <v>86.111332469210851</v>
      </c>
      <c r="G386" cm="1">
        <f t="array" aca="1" ref="G386" ca="1">INDEX($O$2:$O$34,INT(A386/$Z$1)+2)</f>
        <v>83.730605534482365</v>
      </c>
      <c r="H386">
        <f t="shared" ca="1" si="43"/>
        <v>-7.4397716710265183E-2</v>
      </c>
      <c r="I386">
        <f t="shared" ca="1" si="44"/>
        <v>0</v>
      </c>
      <c r="J386" s="3">
        <f t="shared" ca="1" si="45"/>
        <v>86.111332469210851</v>
      </c>
      <c r="K386" s="3">
        <f t="shared" ca="1" si="46"/>
        <v>0</v>
      </c>
      <c r="L386" s="3"/>
    </row>
    <row r="387" spans="1:12" x14ac:dyDescent="0.3">
      <c r="A387">
        <v>385</v>
      </c>
      <c r="B387" s="2">
        <f t="shared" si="48"/>
        <v>6034.4827586206893</v>
      </c>
      <c r="C387" s="2">
        <f t="shared" si="49"/>
        <v>3.2984822703228944E-3</v>
      </c>
      <c r="D387" s="2">
        <f t="shared" si="50"/>
        <v>30.019736274528555</v>
      </c>
      <c r="E387" s="3">
        <f t="shared" si="47"/>
        <v>86.035525294151398</v>
      </c>
      <c r="F387" cm="1">
        <f t="array" aca="1" ref="F387" ca="1">INDEX($O$2:$O$34,INT(A387/$Z$1)+1)</f>
        <v>86.111332469210851</v>
      </c>
      <c r="G387" cm="1">
        <f t="array" aca="1" ref="G387" ca="1">INDEX($O$2:$O$34,INT(A387/$Z$1)+2)</f>
        <v>83.730605534482365</v>
      </c>
      <c r="H387">
        <f t="shared" ref="H387:H450" ca="1" si="51">(G387-F387)/$Z$1</f>
        <v>-7.4397716710265183E-2</v>
      </c>
      <c r="I387">
        <f t="shared" ref="I387:I450" ca="1" si="52">H387*MOD(A387,$Z$1)</f>
        <v>-7.4397716710265183E-2</v>
      </c>
      <c r="J387" s="3">
        <f t="shared" ref="J387:J450" ca="1" si="53">F387+I387</f>
        <v>86.036934752500585</v>
      </c>
      <c r="K387" s="3">
        <f t="shared" ref="K387:K450" ca="1" si="54">E387-J387</f>
        <v>-1.4094583491868207E-3</v>
      </c>
      <c r="L387" s="3"/>
    </row>
    <row r="388" spans="1:12" x14ac:dyDescent="0.3">
      <c r="A388">
        <v>386</v>
      </c>
      <c r="B388" s="2">
        <f t="shared" si="48"/>
        <v>6059.6546310832027</v>
      </c>
      <c r="C388" s="2">
        <f t="shared" si="49"/>
        <v>3.2989399466644303E-3</v>
      </c>
      <c r="D388" s="2">
        <f t="shared" si="50"/>
        <v>29.97767621341626</v>
      </c>
      <c r="E388" s="3">
        <f t="shared" ref="E388:E451" si="55">D388*9/5 + 32</f>
        <v>85.959817184149273</v>
      </c>
      <c r="F388" cm="1">
        <f t="array" aca="1" ref="F388" ca="1">INDEX($O$2:$O$34,INT(A388/$Z$1)+1)</f>
        <v>86.111332469210851</v>
      </c>
      <c r="G388" cm="1">
        <f t="array" aca="1" ref="G388" ca="1">INDEX($O$2:$O$34,INT(A388/$Z$1)+2)</f>
        <v>83.730605534482365</v>
      </c>
      <c r="H388">
        <f t="shared" ca="1" si="51"/>
        <v>-7.4397716710265183E-2</v>
      </c>
      <c r="I388">
        <f t="shared" ca="1" si="52"/>
        <v>-0.14879543342053037</v>
      </c>
      <c r="J388" s="3">
        <f t="shared" ca="1" si="53"/>
        <v>85.962537035790319</v>
      </c>
      <c r="K388" s="3">
        <f t="shared" ca="1" si="54"/>
        <v>-2.719851641046489E-3</v>
      </c>
      <c r="L388" s="3"/>
    </row>
    <row r="389" spans="1:12" x14ac:dyDescent="0.3">
      <c r="A389">
        <v>387</v>
      </c>
      <c r="B389" s="2">
        <f t="shared" si="48"/>
        <v>6084.9056603773588</v>
      </c>
      <c r="C389" s="2">
        <f t="shared" si="49"/>
        <v>3.2993971560401499E-3</v>
      </c>
      <c r="D389" s="2">
        <f t="shared" si="50"/>
        <v>29.93567071694207</v>
      </c>
      <c r="E389" s="3">
        <f t="shared" si="55"/>
        <v>85.884207290495723</v>
      </c>
      <c r="F389" cm="1">
        <f t="array" aca="1" ref="F389" ca="1">INDEX($O$2:$O$34,INT(A389/$Z$1)+1)</f>
        <v>86.111332469210851</v>
      </c>
      <c r="G389" cm="1">
        <f t="array" aca="1" ref="G389" ca="1">INDEX($O$2:$O$34,INT(A389/$Z$1)+2)</f>
        <v>83.730605534482365</v>
      </c>
      <c r="H389">
        <f t="shared" ca="1" si="51"/>
        <v>-7.4397716710265183E-2</v>
      </c>
      <c r="I389">
        <f t="shared" ca="1" si="52"/>
        <v>-0.22319315013079555</v>
      </c>
      <c r="J389" s="3">
        <f t="shared" ca="1" si="53"/>
        <v>85.888139319080054</v>
      </c>
      <c r="K389" s="3">
        <f t="shared" ca="1" si="54"/>
        <v>-3.9320285843302827E-3</v>
      </c>
      <c r="L389" s="3"/>
    </row>
    <row r="390" spans="1:12" x14ac:dyDescent="0.3">
      <c r="A390">
        <v>388</v>
      </c>
      <c r="B390" s="2">
        <f t="shared" si="48"/>
        <v>6110.2362204724413</v>
      </c>
      <c r="C390" s="2">
        <f t="shared" si="49"/>
        <v>3.2998539031114751E-3</v>
      </c>
      <c r="D390" s="2">
        <f t="shared" si="50"/>
        <v>29.89371931650885</v>
      </c>
      <c r="E390" s="3">
        <f t="shared" si="55"/>
        <v>85.808694769715927</v>
      </c>
      <c r="F390" cm="1">
        <f t="array" aca="1" ref="F390" ca="1">INDEX($O$2:$O$34,INT(A390/$Z$1)+1)</f>
        <v>86.111332469210851</v>
      </c>
      <c r="G390" cm="1">
        <f t="array" aca="1" ref="G390" ca="1">INDEX($O$2:$O$34,INT(A390/$Z$1)+2)</f>
        <v>83.730605534482365</v>
      </c>
      <c r="H390">
        <f t="shared" ca="1" si="51"/>
        <v>-7.4397716710265183E-2</v>
      </c>
      <c r="I390">
        <f t="shared" ca="1" si="52"/>
        <v>-0.29759086684106073</v>
      </c>
      <c r="J390" s="3">
        <f t="shared" ca="1" si="53"/>
        <v>85.813741602369788</v>
      </c>
      <c r="K390" s="3">
        <f t="shared" ca="1" si="54"/>
        <v>-5.0468326538606334E-3</v>
      </c>
      <c r="L390" s="3"/>
    </row>
    <row r="391" spans="1:12" x14ac:dyDescent="0.3">
      <c r="A391">
        <v>389</v>
      </c>
      <c r="B391" s="2">
        <f t="shared" si="48"/>
        <v>6135.6466876971608</v>
      </c>
      <c r="C391" s="2">
        <f t="shared" si="49"/>
        <v>3.3003101925144478E-3</v>
      </c>
      <c r="D391" s="2">
        <f t="shared" si="50"/>
        <v>29.851821546391591</v>
      </c>
      <c r="E391" s="3">
        <f t="shared" si="55"/>
        <v>85.733278783504858</v>
      </c>
      <c r="F391" cm="1">
        <f t="array" aca="1" ref="F391" ca="1">INDEX($O$2:$O$34,INT(A391/$Z$1)+1)</f>
        <v>86.111332469210851</v>
      </c>
      <c r="G391" cm="1">
        <f t="array" aca="1" ref="G391" ca="1">INDEX($O$2:$O$34,INT(A391/$Z$1)+2)</f>
        <v>83.730605534482365</v>
      </c>
      <c r="H391">
        <f t="shared" ca="1" si="51"/>
        <v>-7.4397716710265183E-2</v>
      </c>
      <c r="I391">
        <f t="shared" ca="1" si="52"/>
        <v>-0.37198858355132591</v>
      </c>
      <c r="J391" s="3">
        <f t="shared" ca="1" si="53"/>
        <v>85.739343885659522</v>
      </c>
      <c r="K391" s="3">
        <f t="shared" ca="1" si="54"/>
        <v>-6.0651021546647144E-3</v>
      </c>
      <c r="L391" s="3"/>
    </row>
    <row r="392" spans="1:12" x14ac:dyDescent="0.3">
      <c r="A392">
        <v>390</v>
      </c>
      <c r="B392" s="2">
        <f t="shared" si="48"/>
        <v>6161.1374407582935</v>
      </c>
      <c r="C392" s="2">
        <f t="shared" si="49"/>
        <v>3.3007660288600603E-3</v>
      </c>
      <c r="D392" s="2">
        <f t="shared" si="50"/>
        <v>29.809976943702452</v>
      </c>
      <c r="E392" s="3">
        <f t="shared" si="55"/>
        <v>85.657958498664414</v>
      </c>
      <c r="F392" cm="1">
        <f t="array" aca="1" ref="F392" ca="1">INDEX($O$2:$O$34,INT(A392/$Z$1)+1)</f>
        <v>86.111332469210851</v>
      </c>
      <c r="G392" cm="1">
        <f t="array" aca="1" ref="G392" ca="1">INDEX($O$2:$O$34,INT(A392/$Z$1)+2)</f>
        <v>83.730605534482365</v>
      </c>
      <c r="H392">
        <f t="shared" ca="1" si="51"/>
        <v>-7.4397716710265183E-2</v>
      </c>
      <c r="I392">
        <f t="shared" ca="1" si="52"/>
        <v>-0.4463863002615911</v>
      </c>
      <c r="J392" s="3">
        <f t="shared" ca="1" si="53"/>
        <v>85.664946168949257</v>
      </c>
      <c r="K392" s="3">
        <f t="shared" ca="1" si="54"/>
        <v>-6.9876702848432615E-3</v>
      </c>
      <c r="L392" s="3"/>
    </row>
    <row r="393" spans="1:12" x14ac:dyDescent="0.3">
      <c r="A393">
        <v>391</v>
      </c>
      <c r="B393" s="2">
        <f t="shared" si="48"/>
        <v>6186.7088607594933</v>
      </c>
      <c r="C393" s="2">
        <f t="shared" si="49"/>
        <v>3.3012214167345766E-3</v>
      </c>
      <c r="D393" s="2">
        <f t="shared" si="50"/>
        <v>29.768185048355917</v>
      </c>
      <c r="E393" s="3">
        <f t="shared" si="55"/>
        <v>85.582733087040651</v>
      </c>
      <c r="F393" cm="1">
        <f t="array" aca="1" ref="F393" ca="1">INDEX($O$2:$O$34,INT(A393/$Z$1)+1)</f>
        <v>86.111332469210851</v>
      </c>
      <c r="G393" cm="1">
        <f t="array" aca="1" ref="G393" ca="1">INDEX($O$2:$O$34,INT(A393/$Z$1)+2)</f>
        <v>83.730605534482365</v>
      </c>
      <c r="H393">
        <f t="shared" ca="1" si="51"/>
        <v>-7.4397716710265183E-2</v>
      </c>
      <c r="I393">
        <f t="shared" ca="1" si="52"/>
        <v>-0.52078401697185628</v>
      </c>
      <c r="J393" s="3">
        <f t="shared" ca="1" si="53"/>
        <v>85.590548452238991</v>
      </c>
      <c r="K393" s="3">
        <f t="shared" ca="1" si="54"/>
        <v>-7.8153651983399186E-3</v>
      </c>
      <c r="L393" s="3"/>
    </row>
    <row r="394" spans="1:12" x14ac:dyDescent="0.3">
      <c r="A394">
        <v>392</v>
      </c>
      <c r="B394" s="2">
        <f t="shared" si="48"/>
        <v>6212.3613312202851</v>
      </c>
      <c r="C394" s="2">
        <f t="shared" si="49"/>
        <v>3.3016763606998527E-3</v>
      </c>
      <c r="D394" s="2">
        <f t="shared" si="50"/>
        <v>29.726445403034973</v>
      </c>
      <c r="E394" s="3">
        <f t="shared" si="55"/>
        <v>85.507601725462948</v>
      </c>
      <c r="F394" cm="1">
        <f t="array" aca="1" ref="F394" ca="1">INDEX($O$2:$O$34,INT(A394/$Z$1)+1)</f>
        <v>86.111332469210851</v>
      </c>
      <c r="G394" cm="1">
        <f t="array" aca="1" ref="G394" ca="1">INDEX($O$2:$O$34,INT(A394/$Z$1)+2)</f>
        <v>83.730605534482365</v>
      </c>
      <c r="H394">
        <f t="shared" ca="1" si="51"/>
        <v>-7.4397716710265183E-2</v>
      </c>
      <c r="I394">
        <f t="shared" ca="1" si="52"/>
        <v>-0.59518173368212146</v>
      </c>
      <c r="J394" s="3">
        <f t="shared" ca="1" si="53"/>
        <v>85.516150735528726</v>
      </c>
      <c r="K394" s="3">
        <f t="shared" ca="1" si="54"/>
        <v>-8.5490100657779067E-3</v>
      </c>
      <c r="L394" s="3"/>
    </row>
    <row r="395" spans="1:12" x14ac:dyDescent="0.3">
      <c r="A395">
        <v>393</v>
      </c>
      <c r="B395" s="2">
        <f t="shared" si="48"/>
        <v>6238.0952380952385</v>
      </c>
      <c r="C395" s="2">
        <f t="shared" si="49"/>
        <v>3.3021308652936556E-3</v>
      </c>
      <c r="D395" s="2">
        <f t="shared" si="50"/>
        <v>29.684757553156771</v>
      </c>
      <c r="E395" s="3">
        <f t="shared" si="55"/>
        <v>85.432563595682183</v>
      </c>
      <c r="F395" cm="1">
        <f t="array" aca="1" ref="F395" ca="1">INDEX($O$2:$O$34,INT(A395/$Z$1)+1)</f>
        <v>86.111332469210851</v>
      </c>
      <c r="G395" cm="1">
        <f t="array" aca="1" ref="G395" ca="1">INDEX($O$2:$O$34,INT(A395/$Z$1)+2)</f>
        <v>83.730605534482365</v>
      </c>
      <c r="H395">
        <f t="shared" ca="1" si="51"/>
        <v>-7.4397716710265183E-2</v>
      </c>
      <c r="I395">
        <f t="shared" ca="1" si="52"/>
        <v>-0.66957945039238664</v>
      </c>
      <c r="J395" s="3">
        <f t="shared" ca="1" si="53"/>
        <v>85.44175301881846</v>
      </c>
      <c r="K395" s="3">
        <f t="shared" ca="1" si="54"/>
        <v>-9.1894231362772416E-3</v>
      </c>
      <c r="L395" s="3"/>
    </row>
    <row r="396" spans="1:12" x14ac:dyDescent="0.3">
      <c r="A396">
        <v>394</v>
      </c>
      <c r="B396" s="2">
        <f t="shared" si="48"/>
        <v>6263.9109697933227</v>
      </c>
      <c r="C396" s="2">
        <f t="shared" si="49"/>
        <v>3.3025849350299748E-3</v>
      </c>
      <c r="D396" s="2">
        <f t="shared" si="50"/>
        <v>29.64312104683961</v>
      </c>
      <c r="E396" s="3">
        <f t="shared" si="55"/>
        <v>85.357617884311296</v>
      </c>
      <c r="F396" cm="1">
        <f t="array" aca="1" ref="F396" ca="1">INDEX($O$2:$O$34,INT(A396/$Z$1)+1)</f>
        <v>86.111332469210851</v>
      </c>
      <c r="G396" cm="1">
        <f t="array" aca="1" ref="G396" ca="1">INDEX($O$2:$O$34,INT(A396/$Z$1)+2)</f>
        <v>83.730605534482365</v>
      </c>
      <c r="H396">
        <f t="shared" ca="1" si="51"/>
        <v>-7.4397716710265183E-2</v>
      </c>
      <c r="I396">
        <f t="shared" ca="1" si="52"/>
        <v>-0.74397716710265183</v>
      </c>
      <c r="J396" s="3">
        <f t="shared" ca="1" si="53"/>
        <v>85.367355302108194</v>
      </c>
      <c r="K396" s="3">
        <f t="shared" ca="1" si="54"/>
        <v>-9.7374177968987397E-3</v>
      </c>
      <c r="L396" s="3"/>
    </row>
    <row r="397" spans="1:12" x14ac:dyDescent="0.3">
      <c r="A397">
        <v>395</v>
      </c>
      <c r="B397" s="2">
        <f t="shared" si="48"/>
        <v>6289.8089171974525</v>
      </c>
      <c r="C397" s="2">
        <f t="shared" si="49"/>
        <v>3.3030385743993314E-3</v>
      </c>
      <c r="D397" s="2">
        <f t="shared" si="50"/>
        <v>29.601535434869504</v>
      </c>
      <c r="E397" s="3">
        <f t="shared" si="55"/>
        <v>85.282763782765102</v>
      </c>
      <c r="F397" cm="1">
        <f t="array" aca="1" ref="F397" ca="1">INDEX($O$2:$O$34,INT(A397/$Z$1)+1)</f>
        <v>86.111332469210851</v>
      </c>
      <c r="G397" cm="1">
        <f t="array" aca="1" ref="G397" ca="1">INDEX($O$2:$O$34,INT(A397/$Z$1)+2)</f>
        <v>83.730605534482365</v>
      </c>
      <c r="H397">
        <f t="shared" ca="1" si="51"/>
        <v>-7.4397716710265183E-2</v>
      </c>
      <c r="I397">
        <f t="shared" ca="1" si="52"/>
        <v>-0.81837488381291701</v>
      </c>
      <c r="J397" s="3">
        <f t="shared" ca="1" si="53"/>
        <v>85.292957585397929</v>
      </c>
      <c r="K397" s="3">
        <f t="shared" ca="1" si="54"/>
        <v>-1.0193802632826987E-2</v>
      </c>
      <c r="L397" s="3"/>
    </row>
    <row r="398" spans="1:12" x14ac:dyDescent="0.3">
      <c r="A398">
        <v>396</v>
      </c>
      <c r="B398" s="2">
        <f t="shared" si="48"/>
        <v>6315.7894736842109</v>
      </c>
      <c r="C398" s="2">
        <f t="shared" si="49"/>
        <v>3.3034917878690864E-3</v>
      </c>
      <c r="D398" s="2">
        <f t="shared" si="50"/>
        <v>29.560000270667842</v>
      </c>
      <c r="E398" s="3">
        <f t="shared" si="55"/>
        <v>85.208000487202114</v>
      </c>
      <c r="F398" cm="1">
        <f t="array" aca="1" ref="F398" ca="1">INDEX($O$2:$O$34,INT(A398/$Z$1)+1)</f>
        <v>86.111332469210851</v>
      </c>
      <c r="G398" cm="1">
        <f t="array" aca="1" ref="G398" ca="1">INDEX($O$2:$O$34,INT(A398/$Z$1)+2)</f>
        <v>83.730605534482365</v>
      </c>
      <c r="H398">
        <f t="shared" ca="1" si="51"/>
        <v>-7.4397716710265183E-2</v>
      </c>
      <c r="I398">
        <f t="shared" ca="1" si="52"/>
        <v>-0.89277260052318219</v>
      </c>
      <c r="J398" s="3">
        <f t="shared" ca="1" si="53"/>
        <v>85.218559868687663</v>
      </c>
      <c r="K398" s="3">
        <f t="shared" ca="1" si="54"/>
        <v>-1.0559381485549579E-2</v>
      </c>
      <c r="L398" s="3"/>
    </row>
    <row r="399" spans="1:12" x14ac:dyDescent="0.3">
      <c r="A399">
        <v>397</v>
      </c>
      <c r="B399" s="2">
        <f t="shared" si="48"/>
        <v>6341.8530351437703</v>
      </c>
      <c r="C399" s="2">
        <f t="shared" si="49"/>
        <v>3.3039445798837418E-3</v>
      </c>
      <c r="D399" s="2">
        <f t="shared" si="50"/>
        <v>29.518515110258818</v>
      </c>
      <c r="E399" s="3">
        <f t="shared" si="55"/>
        <v>85.133327198465878</v>
      </c>
      <c r="F399" cm="1">
        <f t="array" aca="1" ref="F399" ca="1">INDEX($O$2:$O$34,INT(A399/$Z$1)+1)</f>
        <v>86.111332469210851</v>
      </c>
      <c r="G399" cm="1">
        <f t="array" aca="1" ref="G399" ca="1">INDEX($O$2:$O$34,INT(A399/$Z$1)+2)</f>
        <v>83.730605534482365</v>
      </c>
      <c r="H399">
        <f t="shared" ca="1" si="51"/>
        <v>-7.4397716710265183E-2</v>
      </c>
      <c r="I399">
        <f t="shared" ca="1" si="52"/>
        <v>-0.96717031723344737</v>
      </c>
      <c r="J399" s="3">
        <f t="shared" ca="1" si="53"/>
        <v>85.144162151977397</v>
      </c>
      <c r="K399" s="3">
        <f t="shared" ca="1" si="54"/>
        <v>-1.0834953511519529E-2</v>
      </c>
      <c r="L399" s="3"/>
    </row>
    <row r="400" spans="1:12" x14ac:dyDescent="0.3">
      <c r="A400">
        <v>398</v>
      </c>
      <c r="B400" s="2">
        <f t="shared" si="48"/>
        <v>6368</v>
      </c>
      <c r="C400" s="2">
        <f t="shared" si="49"/>
        <v>3.3043969548652422E-3</v>
      </c>
      <c r="D400" s="2">
        <f t="shared" si="50"/>
        <v>29.477079512237765</v>
      </c>
      <c r="E400" s="3">
        <f t="shared" si="55"/>
        <v>85.058743122027977</v>
      </c>
      <c r="F400" cm="1">
        <f t="array" aca="1" ref="F400" ca="1">INDEX($O$2:$O$34,INT(A400/$Z$1)+1)</f>
        <v>86.111332469210851</v>
      </c>
      <c r="G400" cm="1">
        <f t="array" aca="1" ref="G400" ca="1">INDEX($O$2:$O$34,INT(A400/$Z$1)+2)</f>
        <v>83.730605534482365</v>
      </c>
      <c r="H400">
        <f t="shared" ca="1" si="51"/>
        <v>-7.4397716710265183E-2</v>
      </c>
      <c r="I400">
        <f t="shared" ca="1" si="52"/>
        <v>-1.0415680339437126</v>
      </c>
      <c r="J400" s="3">
        <f t="shared" ca="1" si="53"/>
        <v>85.069764435267132</v>
      </c>
      <c r="K400" s="3">
        <f t="shared" ca="1" si="54"/>
        <v>-1.1021313239155006E-2</v>
      </c>
      <c r="L400" s="3"/>
    </row>
    <row r="401" spans="1:12" x14ac:dyDescent="0.3">
      <c r="A401">
        <v>399</v>
      </c>
      <c r="B401" s="2">
        <f t="shared" si="48"/>
        <v>6394.2307692307695</v>
      </c>
      <c r="C401" s="2">
        <f t="shared" si="49"/>
        <v>3.3048489172132706E-3</v>
      </c>
      <c r="D401" s="2">
        <f t="shared" si="50"/>
        <v>29.435693037739384</v>
      </c>
      <c r="E401" s="3">
        <f t="shared" si="55"/>
        <v>84.984247467930885</v>
      </c>
      <c r="F401" cm="1">
        <f t="array" aca="1" ref="F401" ca="1">INDEX($O$2:$O$34,INT(A401/$Z$1)+1)</f>
        <v>86.111332469210851</v>
      </c>
      <c r="G401" cm="1">
        <f t="array" aca="1" ref="G401" ca="1">INDEX($O$2:$O$34,INT(A401/$Z$1)+2)</f>
        <v>83.730605534482365</v>
      </c>
      <c r="H401">
        <f t="shared" ca="1" si="51"/>
        <v>-7.4397716710265183E-2</v>
      </c>
      <c r="I401">
        <f t="shared" ca="1" si="52"/>
        <v>-1.1159657506539777</v>
      </c>
      <c r="J401" s="3">
        <f t="shared" ca="1" si="53"/>
        <v>84.995366718556866</v>
      </c>
      <c r="K401" s="3">
        <f t="shared" ca="1" si="54"/>
        <v>-1.1119250625981181E-2</v>
      </c>
      <c r="L401" s="3"/>
    </row>
    <row r="402" spans="1:12" x14ac:dyDescent="0.3">
      <c r="A402">
        <v>400</v>
      </c>
      <c r="B402" s="2">
        <f t="shared" si="48"/>
        <v>6420.5457463884431</v>
      </c>
      <c r="C402" s="2">
        <f t="shared" si="49"/>
        <v>3.3053004713055412E-3</v>
      </c>
      <c r="D402" s="2">
        <f t="shared" si="50"/>
        <v>29.394355250406591</v>
      </c>
      <c r="E402" s="3">
        <f t="shared" si="55"/>
        <v>84.909839450731866</v>
      </c>
      <c r="F402" cm="1">
        <f t="array" aca="1" ref="F402" ca="1">INDEX($O$2:$O$34,INT(A402/$Z$1)+1)</f>
        <v>86.111332469210851</v>
      </c>
      <c r="G402" cm="1">
        <f t="array" aca="1" ref="G402" ca="1">INDEX($O$2:$O$34,INT(A402/$Z$1)+2)</f>
        <v>83.730605534482365</v>
      </c>
      <c r="H402">
        <f t="shared" ca="1" si="51"/>
        <v>-7.4397716710265183E-2</v>
      </c>
      <c r="I402">
        <f t="shared" ca="1" si="52"/>
        <v>-1.1903634673642429</v>
      </c>
      <c r="J402" s="3">
        <f t="shared" ca="1" si="53"/>
        <v>84.920969001846601</v>
      </c>
      <c r="K402" s="3">
        <f t="shared" ca="1" si="54"/>
        <v>-1.1129551114734682E-2</v>
      </c>
      <c r="L402" s="3"/>
    </row>
    <row r="403" spans="1:12" x14ac:dyDescent="0.3">
      <c r="A403">
        <v>401</v>
      </c>
      <c r="B403" s="2">
        <f t="shared" si="48"/>
        <v>6446.9453376205784</v>
      </c>
      <c r="C403" s="2">
        <f t="shared" si="49"/>
        <v>3.3057516214980908E-3</v>
      </c>
      <c r="D403" s="2">
        <f t="shared" si="50"/>
        <v>29.353065716359822</v>
      </c>
      <c r="E403" s="3">
        <f t="shared" si="55"/>
        <v>84.835518289447677</v>
      </c>
      <c r="F403" cm="1">
        <f t="array" aca="1" ref="F403" ca="1">INDEX($O$2:$O$34,INT(A403/$Z$1)+1)</f>
        <v>86.111332469210851</v>
      </c>
      <c r="G403" cm="1">
        <f t="array" aca="1" ref="G403" ca="1">INDEX($O$2:$O$34,INT(A403/$Z$1)+2)</f>
        <v>83.730605534482365</v>
      </c>
      <c r="H403">
        <f t="shared" ca="1" si="51"/>
        <v>-7.4397716710265183E-2</v>
      </c>
      <c r="I403">
        <f t="shared" ca="1" si="52"/>
        <v>-1.2647611840745081</v>
      </c>
      <c r="J403" s="3">
        <f t="shared" ca="1" si="53"/>
        <v>84.846571285136349</v>
      </c>
      <c r="K403" s="3">
        <f t="shared" ca="1" si="54"/>
        <v>-1.105299568867224E-2</v>
      </c>
      <c r="L403" s="3"/>
    </row>
    <row r="404" spans="1:12" x14ac:dyDescent="0.3">
      <c r="A404">
        <v>402</v>
      </c>
      <c r="B404" s="2">
        <f t="shared" si="48"/>
        <v>6473.4299516908213</v>
      </c>
      <c r="C404" s="2">
        <f t="shared" si="49"/>
        <v>3.3062023721255659E-3</v>
      </c>
      <c r="D404" s="2">
        <f t="shared" si="50"/>
        <v>29.311824004166283</v>
      </c>
      <c r="E404" s="3">
        <f t="shared" si="55"/>
        <v>84.761283207499304</v>
      </c>
      <c r="F404" cm="1">
        <f t="array" aca="1" ref="F404" ca="1">INDEX($O$2:$O$34,INT(A404/$Z$1)+1)</f>
        <v>86.111332469210851</v>
      </c>
      <c r="G404" cm="1">
        <f t="array" aca="1" ref="G404" ca="1">INDEX($O$2:$O$34,INT(A404/$Z$1)+2)</f>
        <v>83.730605534482365</v>
      </c>
      <c r="H404">
        <f t="shared" ca="1" si="51"/>
        <v>-7.4397716710265183E-2</v>
      </c>
      <c r="I404">
        <f t="shared" ca="1" si="52"/>
        <v>-1.3391589007847733</v>
      </c>
      <c r="J404" s="3">
        <f t="shared" ca="1" si="53"/>
        <v>84.772173568426084</v>
      </c>
      <c r="K404" s="3">
        <f t="shared" ca="1" si="54"/>
        <v>-1.0890360926779863E-2</v>
      </c>
      <c r="L404" s="3"/>
    </row>
    <row r="405" spans="1:12" x14ac:dyDescent="0.3">
      <c r="A405">
        <v>403</v>
      </c>
      <c r="B405" s="2">
        <f t="shared" si="48"/>
        <v>6500</v>
      </c>
      <c r="C405" s="2">
        <f t="shared" si="49"/>
        <v>3.3066527275015063E-3</v>
      </c>
      <c r="D405" s="2">
        <f t="shared" si="50"/>
        <v>29.270629684810046</v>
      </c>
      <c r="E405" s="3">
        <f t="shared" si="55"/>
        <v>84.687133432658086</v>
      </c>
      <c r="F405" cm="1">
        <f t="array" aca="1" ref="F405" ca="1">INDEX($O$2:$O$34,INT(A405/$Z$1)+1)</f>
        <v>86.111332469210851</v>
      </c>
      <c r="G405" cm="1">
        <f t="array" aca="1" ref="G405" ca="1">INDEX($O$2:$O$34,INT(A405/$Z$1)+2)</f>
        <v>83.730605534482365</v>
      </c>
      <c r="H405">
        <f t="shared" ca="1" si="51"/>
        <v>-7.4397716710265183E-2</v>
      </c>
      <c r="I405">
        <f t="shared" ca="1" si="52"/>
        <v>-1.4135566174950385</v>
      </c>
      <c r="J405" s="3">
        <f t="shared" ca="1" si="53"/>
        <v>84.697775851715818</v>
      </c>
      <c r="K405" s="3">
        <f t="shared" ca="1" si="54"/>
        <v>-1.0642419057731445E-2</v>
      </c>
      <c r="L405" s="3"/>
    </row>
    <row r="406" spans="1:12" x14ac:dyDescent="0.3">
      <c r="A406">
        <v>404</v>
      </c>
      <c r="B406" s="2">
        <f t="shared" si="48"/>
        <v>6526.6558966074317</v>
      </c>
      <c r="C406" s="2">
        <f t="shared" si="49"/>
        <v>3.3071026919186284E-3</v>
      </c>
      <c r="D406" s="2">
        <f t="shared" si="50"/>
        <v>29.229482331661814</v>
      </c>
      <c r="E406" s="3">
        <f t="shared" si="55"/>
        <v>84.613068196991264</v>
      </c>
      <c r="F406" cm="1">
        <f t="array" aca="1" ref="F406" ca="1">INDEX($O$2:$O$34,INT(A406/$Z$1)+1)</f>
        <v>86.111332469210851</v>
      </c>
      <c r="G406" cm="1">
        <f t="array" aca="1" ref="G406" ca="1">INDEX($O$2:$O$34,INT(A406/$Z$1)+2)</f>
        <v>83.730605534482365</v>
      </c>
      <c r="H406">
        <f t="shared" ca="1" si="51"/>
        <v>-7.4397716710265183E-2</v>
      </c>
      <c r="I406">
        <f t="shared" ca="1" si="52"/>
        <v>-1.4879543342053037</v>
      </c>
      <c r="J406" s="3">
        <f t="shared" ca="1" si="53"/>
        <v>84.623378135005552</v>
      </c>
      <c r="K406" s="3">
        <f t="shared" ca="1" si="54"/>
        <v>-1.0309938014287923E-2</v>
      </c>
      <c r="L406" s="3"/>
    </row>
    <row r="407" spans="1:12" x14ac:dyDescent="0.3">
      <c r="A407">
        <v>405</v>
      </c>
      <c r="B407" s="2">
        <f t="shared" si="48"/>
        <v>6553.3980582524273</v>
      </c>
      <c r="C407" s="2">
        <f t="shared" si="49"/>
        <v>3.3075522696491004E-3</v>
      </c>
      <c r="D407" s="2">
        <f t="shared" si="50"/>
        <v>29.188381520450037</v>
      </c>
      <c r="E407" s="3">
        <f t="shared" si="55"/>
        <v>84.539086736810063</v>
      </c>
      <c r="F407" cm="1">
        <f t="array" aca="1" ref="F407" ca="1">INDEX($O$2:$O$34,INT(A407/$Z$1)+1)</f>
        <v>86.111332469210851</v>
      </c>
      <c r="G407" cm="1">
        <f t="array" aca="1" ref="G407" ca="1">INDEX($O$2:$O$34,INT(A407/$Z$1)+2)</f>
        <v>83.730605534482365</v>
      </c>
      <c r="H407">
        <f t="shared" ca="1" si="51"/>
        <v>-7.4397716710265183E-2</v>
      </c>
      <c r="I407">
        <f t="shared" ca="1" si="52"/>
        <v>-1.5623520509155688</v>
      </c>
      <c r="J407" s="3">
        <f t="shared" ca="1" si="53"/>
        <v>84.548980418295287</v>
      </c>
      <c r="K407" s="3">
        <f t="shared" ca="1" si="54"/>
        <v>-9.8936814852237376E-3</v>
      </c>
      <c r="L407" s="3"/>
    </row>
    <row r="408" spans="1:12" x14ac:dyDescent="0.3">
      <c r="A408">
        <v>406</v>
      </c>
      <c r="B408" s="2">
        <f t="shared" si="48"/>
        <v>6580.2269043760134</v>
      </c>
      <c r="C408" s="2">
        <f t="shared" si="49"/>
        <v>3.3080014649448219E-3</v>
      </c>
      <c r="D408" s="2">
        <f t="shared" si="50"/>
        <v>29.147326829231076</v>
      </c>
      <c r="E408" s="3">
        <f t="shared" si="55"/>
        <v>84.465188292615935</v>
      </c>
      <c r="F408" cm="1">
        <f t="array" aca="1" ref="F408" ca="1">INDEX($O$2:$O$34,INT(A408/$Z$1)+1)</f>
        <v>86.111332469210851</v>
      </c>
      <c r="G408" cm="1">
        <f t="array" aca="1" ref="G408" ca="1">INDEX($O$2:$O$34,INT(A408/$Z$1)+2)</f>
        <v>83.730605534482365</v>
      </c>
      <c r="H408">
        <f t="shared" ca="1" si="51"/>
        <v>-7.4397716710265183E-2</v>
      </c>
      <c r="I408">
        <f t="shared" ca="1" si="52"/>
        <v>-1.636749767625834</v>
      </c>
      <c r="J408" s="3">
        <f t="shared" ca="1" si="53"/>
        <v>84.474582701585021</v>
      </c>
      <c r="K408" s="3">
        <f t="shared" ca="1" si="54"/>
        <v>-9.3944089690864985E-3</v>
      </c>
      <c r="L408" s="3"/>
    </row>
    <row r="409" spans="1:12" x14ac:dyDescent="0.3">
      <c r="A409">
        <v>407</v>
      </c>
      <c r="B409" s="2">
        <f t="shared" si="48"/>
        <v>6607.1428571428569</v>
      </c>
      <c r="C409" s="2">
        <f t="shared" si="49"/>
        <v>3.3084502820376937E-3</v>
      </c>
      <c r="D409" s="2">
        <f t="shared" si="50"/>
        <v>29.106317838360951</v>
      </c>
      <c r="E409" s="3">
        <f t="shared" si="55"/>
        <v>84.391372109049712</v>
      </c>
      <c r="F409" cm="1">
        <f t="array" aca="1" ref="F409" ca="1">INDEX($O$2:$O$34,INT(A409/$Z$1)+1)</f>
        <v>86.111332469210851</v>
      </c>
      <c r="G409" cm="1">
        <f t="array" aca="1" ref="G409" ca="1">INDEX($O$2:$O$34,INT(A409/$Z$1)+2)</f>
        <v>83.730605534482365</v>
      </c>
      <c r="H409">
        <f t="shared" ca="1" si="51"/>
        <v>-7.4397716710265183E-2</v>
      </c>
      <c r="I409">
        <f t="shared" ca="1" si="52"/>
        <v>-1.7111474843360992</v>
      </c>
      <c r="J409" s="3">
        <f t="shared" ca="1" si="53"/>
        <v>84.400184984874755</v>
      </c>
      <c r="K409" s="3">
        <f t="shared" ca="1" si="54"/>
        <v>-8.8128758250434203E-3</v>
      </c>
      <c r="L409" s="3"/>
    </row>
    <row r="410" spans="1:12" x14ac:dyDescent="0.3">
      <c r="A410">
        <v>408</v>
      </c>
      <c r="B410" s="2">
        <f t="shared" si="48"/>
        <v>6634.1463414634145</v>
      </c>
      <c r="C410" s="2">
        <f t="shared" si="49"/>
        <v>3.308898725139888E-3</v>
      </c>
      <c r="D410" s="2">
        <f t="shared" si="50"/>
        <v>29.065354130466403</v>
      </c>
      <c r="E410" s="3">
        <f t="shared" si="55"/>
        <v>84.317637434839526</v>
      </c>
      <c r="F410" cm="1">
        <f t="array" aca="1" ref="F410" ca="1">INDEX($O$2:$O$34,INT(A410/$Z$1)+1)</f>
        <v>86.111332469210851</v>
      </c>
      <c r="G410" cm="1">
        <f t="array" aca="1" ref="G410" ca="1">INDEX($O$2:$O$34,INT(A410/$Z$1)+2)</f>
        <v>83.730605534482365</v>
      </c>
      <c r="H410">
        <f t="shared" ca="1" si="51"/>
        <v>-7.4397716710265183E-2</v>
      </c>
      <c r="I410">
        <f t="shared" ca="1" si="52"/>
        <v>-1.7855452010463644</v>
      </c>
      <c r="J410" s="3">
        <f t="shared" ca="1" si="53"/>
        <v>84.32578726816449</v>
      </c>
      <c r="K410" s="3">
        <f t="shared" ca="1" si="54"/>
        <v>-8.1498333249641064E-3</v>
      </c>
      <c r="L410" s="3"/>
    </row>
    <row r="411" spans="1:12" x14ac:dyDescent="0.3">
      <c r="A411">
        <v>409</v>
      </c>
      <c r="B411" s="2">
        <f t="shared" si="48"/>
        <v>6661.2377850162866</v>
      </c>
      <c r="C411" s="2">
        <f t="shared" si="49"/>
        <v>3.3093467984441189E-3</v>
      </c>
      <c r="D411" s="2">
        <f t="shared" si="50"/>
        <v>29.024435290416704</v>
      </c>
      <c r="E411" s="3">
        <f t="shared" si="55"/>
        <v>84.243983522750071</v>
      </c>
      <c r="F411" cm="1">
        <f t="array" aca="1" ref="F411" ca="1">INDEX($O$2:$O$34,INT(A411/$Z$1)+1)</f>
        <v>86.111332469210851</v>
      </c>
      <c r="G411" cm="1">
        <f t="array" aca="1" ref="G411" ca="1">INDEX($O$2:$O$34,INT(A411/$Z$1)+2)</f>
        <v>83.730605534482365</v>
      </c>
      <c r="H411">
        <f t="shared" ca="1" si="51"/>
        <v>-7.4397716710265183E-2</v>
      </c>
      <c r="I411">
        <f t="shared" ca="1" si="52"/>
        <v>-1.8599429177566296</v>
      </c>
      <c r="J411" s="3">
        <f t="shared" ca="1" si="53"/>
        <v>84.251389551454224</v>
      </c>
      <c r="K411" s="3">
        <f t="shared" ca="1" si="54"/>
        <v>-7.4060287041533002E-3</v>
      </c>
      <c r="L411" s="3"/>
    </row>
    <row r="412" spans="1:12" x14ac:dyDescent="0.3">
      <c r="A412">
        <v>410</v>
      </c>
      <c r="B412" s="2">
        <f t="shared" si="48"/>
        <v>6688.4176182707997</v>
      </c>
      <c r="C412" s="2">
        <f t="shared" si="49"/>
        <v>3.3097945061239028E-3</v>
      </c>
      <c r="D412" s="2">
        <f t="shared" si="50"/>
        <v>28.983560905295917</v>
      </c>
      <c r="E412" s="3">
        <f t="shared" si="55"/>
        <v>84.170409629532656</v>
      </c>
      <c r="F412" cm="1">
        <f t="array" aca="1" ref="F412" ca="1">INDEX($O$2:$O$34,INT(A412/$Z$1)+1)</f>
        <v>86.111332469210851</v>
      </c>
      <c r="G412" cm="1">
        <f t="array" aca="1" ref="G412" ca="1">INDEX($O$2:$O$34,INT(A412/$Z$1)+2)</f>
        <v>83.730605534482365</v>
      </c>
      <c r="H412">
        <f t="shared" ca="1" si="51"/>
        <v>-7.4397716710265183E-2</v>
      </c>
      <c r="I412">
        <f t="shared" ca="1" si="52"/>
        <v>-1.9343406344668947</v>
      </c>
      <c r="J412" s="3">
        <f t="shared" ca="1" si="53"/>
        <v>84.176991834743959</v>
      </c>
      <c r="K412" s="3">
        <f t="shared" ca="1" si="54"/>
        <v>-6.5822052113020391E-3</v>
      </c>
      <c r="L412" s="3"/>
    </row>
    <row r="413" spans="1:12" x14ac:dyDescent="0.3">
      <c r="A413">
        <v>411</v>
      </c>
      <c r="B413" s="2">
        <f t="shared" si="48"/>
        <v>6715.6862745098042</v>
      </c>
      <c r="C413" s="2">
        <f t="shared" si="49"/>
        <v>3.3102418523338235E-3</v>
      </c>
      <c r="D413" s="2">
        <f t="shared" si="50"/>
        <v>28.942730564375211</v>
      </c>
      <c r="E413" s="3">
        <f t="shared" si="55"/>
        <v>84.096915015875382</v>
      </c>
      <c r="F413" cm="1">
        <f t="array" aca="1" ref="F413" ca="1">INDEX($O$2:$O$34,INT(A413/$Z$1)+1)</f>
        <v>86.111332469210851</v>
      </c>
      <c r="G413" cm="1">
        <f t="array" aca="1" ref="G413" ca="1">INDEX($O$2:$O$34,INT(A413/$Z$1)+2)</f>
        <v>83.730605534482365</v>
      </c>
      <c r="H413">
        <f t="shared" ca="1" si="51"/>
        <v>-7.4397716710265183E-2</v>
      </c>
      <c r="I413">
        <f t="shared" ca="1" si="52"/>
        <v>-2.0087383511771599</v>
      </c>
      <c r="J413" s="3">
        <f t="shared" ca="1" si="53"/>
        <v>84.102594118033693</v>
      </c>
      <c r="K413" s="3">
        <f t="shared" ca="1" si="54"/>
        <v>-5.6791021583109114E-3</v>
      </c>
      <c r="L413" s="3"/>
    </row>
    <row r="414" spans="1:12" x14ac:dyDescent="0.3">
      <c r="A414">
        <v>412</v>
      </c>
      <c r="B414" s="2">
        <f t="shared" si="48"/>
        <v>6743.0441898527006</v>
      </c>
      <c r="C414" s="2">
        <f t="shared" si="49"/>
        <v>3.3106888412097911E-3</v>
      </c>
      <c r="D414" s="2">
        <f t="shared" si="50"/>
        <v>28.90194385908535</v>
      </c>
      <c r="E414" s="3">
        <f t="shared" si="55"/>
        <v>84.023498946353627</v>
      </c>
      <c r="F414" cm="1">
        <f t="array" aca="1" ref="F414" ca="1">INDEX($O$2:$O$34,INT(A414/$Z$1)+1)</f>
        <v>86.111332469210851</v>
      </c>
      <c r="G414" cm="1">
        <f t="array" aca="1" ref="G414" ca="1">INDEX($O$2:$O$34,INT(A414/$Z$1)+2)</f>
        <v>83.730605534482365</v>
      </c>
      <c r="H414">
        <f t="shared" ca="1" si="51"/>
        <v>-7.4397716710265183E-2</v>
      </c>
      <c r="I414">
        <f t="shared" ca="1" si="52"/>
        <v>-2.0831360678874251</v>
      </c>
      <c r="J414" s="3">
        <f t="shared" ca="1" si="53"/>
        <v>84.028196401323427</v>
      </c>
      <c r="K414" s="3">
        <f t="shared" ca="1" si="54"/>
        <v>-4.697454969800674E-3</v>
      </c>
      <c r="L414" s="3"/>
    </row>
    <row r="415" spans="1:12" x14ac:dyDescent="0.3">
      <c r="A415">
        <v>413</v>
      </c>
      <c r="B415" s="2">
        <f t="shared" si="48"/>
        <v>6770.4918032786882</v>
      </c>
      <c r="C415" s="2">
        <f t="shared" si="49"/>
        <v>3.3111354768692986E-3</v>
      </c>
      <c r="D415" s="2">
        <f t="shared" si="50"/>
        <v>28.86120038298975</v>
      </c>
      <c r="E415" s="3">
        <f t="shared" si="55"/>
        <v>83.950160689381548</v>
      </c>
      <c r="F415" cm="1">
        <f t="array" aca="1" ref="F415" ca="1">INDEX($O$2:$O$34,INT(A415/$Z$1)+1)</f>
        <v>86.111332469210851</v>
      </c>
      <c r="G415" cm="1">
        <f t="array" aca="1" ref="G415" ca="1">INDEX($O$2:$O$34,INT(A415/$Z$1)+2)</f>
        <v>83.730605534482365</v>
      </c>
      <c r="H415">
        <f t="shared" ca="1" si="51"/>
        <v>-7.4397716710265183E-2</v>
      </c>
      <c r="I415">
        <f t="shared" ca="1" si="52"/>
        <v>-2.1575337845976903</v>
      </c>
      <c r="J415" s="3">
        <f t="shared" ca="1" si="53"/>
        <v>83.953798684613162</v>
      </c>
      <c r="K415" s="3">
        <f t="shared" ca="1" si="54"/>
        <v>-3.6379952316138997E-3</v>
      </c>
      <c r="L415" s="3"/>
    </row>
    <row r="416" spans="1:12" x14ac:dyDescent="0.3">
      <c r="A416">
        <v>414</v>
      </c>
      <c r="B416" s="2">
        <f t="shared" si="48"/>
        <v>6798.0295566502464</v>
      </c>
      <c r="C416" s="2">
        <f t="shared" si="49"/>
        <v>3.3115817634116755E-3</v>
      </c>
      <c r="D416" s="2">
        <f t="shared" si="50"/>
        <v>28.820499731757991</v>
      </c>
      <c r="E416" s="3">
        <f t="shared" si="55"/>
        <v>83.876899517164389</v>
      </c>
      <c r="F416" cm="1">
        <f t="array" aca="1" ref="F416" ca="1">INDEX($O$2:$O$34,INT(A416/$Z$1)+1)</f>
        <v>86.111332469210851</v>
      </c>
      <c r="G416" cm="1">
        <f t="array" aca="1" ref="G416" ca="1">INDEX($O$2:$O$34,INT(A416/$Z$1)+2)</f>
        <v>83.730605534482365</v>
      </c>
      <c r="H416">
        <f t="shared" ca="1" si="51"/>
        <v>-7.4397716710265183E-2</v>
      </c>
      <c r="I416">
        <f t="shared" ca="1" si="52"/>
        <v>-2.2319315013079555</v>
      </c>
      <c r="J416" s="3">
        <f t="shared" ca="1" si="53"/>
        <v>83.879400967902896</v>
      </c>
      <c r="K416" s="3">
        <f t="shared" ca="1" si="54"/>
        <v>-2.5014507385066054E-3</v>
      </c>
      <c r="L416" s="3"/>
    </row>
    <row r="417" spans="1:12" x14ac:dyDescent="0.3">
      <c r="A417">
        <v>415</v>
      </c>
      <c r="B417" s="2">
        <f t="shared" si="48"/>
        <v>6825.6578947368425</v>
      </c>
      <c r="C417" s="2">
        <f t="shared" si="49"/>
        <v>3.3120277049183424E-3</v>
      </c>
      <c r="D417" s="2">
        <f t="shared" si="50"/>
        <v>28.779841503138925</v>
      </c>
      <c r="E417" s="3">
        <f t="shared" si="55"/>
        <v>83.803714705650066</v>
      </c>
      <c r="F417" cm="1">
        <f t="array" aca="1" ref="F417" ca="1">INDEX($O$2:$O$34,INT(A417/$Z$1)+1)</f>
        <v>86.111332469210851</v>
      </c>
      <c r="G417" cm="1">
        <f t="array" aca="1" ref="G417" ca="1">INDEX($O$2:$O$34,INT(A417/$Z$1)+2)</f>
        <v>83.730605534482365</v>
      </c>
      <c r="H417">
        <f t="shared" ca="1" si="51"/>
        <v>-7.4397716710265183E-2</v>
      </c>
      <c r="I417">
        <f t="shared" ca="1" si="52"/>
        <v>-2.3063292180182207</v>
      </c>
      <c r="J417" s="3">
        <f t="shared" ca="1" si="53"/>
        <v>83.80500325119263</v>
      </c>
      <c r="K417" s="3">
        <f t="shared" ca="1" si="54"/>
        <v>-1.2885455425646342E-3</v>
      </c>
      <c r="L417" s="3"/>
    </row>
    <row r="418" spans="1:12" x14ac:dyDescent="0.3">
      <c r="A418">
        <v>416</v>
      </c>
      <c r="B418" s="2">
        <f t="shared" si="48"/>
        <v>6853.3772652388798</v>
      </c>
      <c r="C418" s="2">
        <f t="shared" si="49"/>
        <v>3.3124733054530581E-3</v>
      </c>
      <c r="D418" s="2">
        <f t="shared" si="50"/>
        <v>28.739225296934649</v>
      </c>
      <c r="E418" s="3">
        <f t="shared" si="55"/>
        <v>83.730605534482365</v>
      </c>
      <c r="F418" cm="1">
        <f t="array" aca="1" ref="F418" ca="1">INDEX($O$2:$O$34,INT(A418/$Z$1)+1)</f>
        <v>83.730605534482365</v>
      </c>
      <c r="G418" cm="1">
        <f t="array" aca="1" ref="G418" ca="1">INDEX($O$2:$O$34,INT(A418/$Z$1)+2)</f>
        <v>81.426916341558666</v>
      </c>
      <c r="H418">
        <f t="shared" ca="1" si="51"/>
        <v>-7.1990287278865583E-2</v>
      </c>
      <c r="I418">
        <f t="shared" ca="1" si="52"/>
        <v>0</v>
      </c>
      <c r="J418" s="3">
        <f t="shared" ca="1" si="53"/>
        <v>83.730605534482365</v>
      </c>
      <c r="K418" s="3">
        <f t="shared" ca="1" si="54"/>
        <v>0</v>
      </c>
      <c r="L418" s="3"/>
    </row>
    <row r="419" spans="1:12" x14ac:dyDescent="0.3">
      <c r="A419">
        <v>417</v>
      </c>
      <c r="B419" s="2">
        <f t="shared" si="48"/>
        <v>6881.1881188118814</v>
      </c>
      <c r="C419" s="2">
        <f t="shared" si="49"/>
        <v>3.3129185690621687E-3</v>
      </c>
      <c r="D419" s="2">
        <f t="shared" si="50"/>
        <v>28.698650714974633</v>
      </c>
      <c r="E419" s="3">
        <f t="shared" si="55"/>
        <v>83.657571286954337</v>
      </c>
      <c r="F419" cm="1">
        <f t="array" aca="1" ref="F419" ca="1">INDEX($O$2:$O$34,INT(A419/$Z$1)+1)</f>
        <v>83.730605534482365</v>
      </c>
      <c r="G419" cm="1">
        <f t="array" aca="1" ref="G419" ca="1">INDEX($O$2:$O$34,INT(A419/$Z$1)+2)</f>
        <v>81.426916341558666</v>
      </c>
      <c r="H419">
        <f t="shared" ca="1" si="51"/>
        <v>-7.1990287278865583E-2</v>
      </c>
      <c r="I419">
        <f t="shared" ca="1" si="52"/>
        <v>-7.1990287278865583E-2</v>
      </c>
      <c r="J419" s="3">
        <f t="shared" ca="1" si="53"/>
        <v>83.6586152472035</v>
      </c>
      <c r="K419" s="3">
        <f t="shared" ca="1" si="54"/>
        <v>-1.0439602491629785E-3</v>
      </c>
      <c r="L419" s="3"/>
    </row>
    <row r="420" spans="1:12" x14ac:dyDescent="0.3">
      <c r="A420">
        <v>418</v>
      </c>
      <c r="B420" s="2">
        <f t="shared" si="48"/>
        <v>6909.090909090909</v>
      </c>
      <c r="C420" s="2">
        <f t="shared" si="49"/>
        <v>3.313363499774851E-3</v>
      </c>
      <c r="D420" s="2">
        <f t="shared" si="50"/>
        <v>28.658117361089978</v>
      </c>
      <c r="E420" s="3">
        <f t="shared" si="55"/>
        <v>83.584611249961966</v>
      </c>
      <c r="F420" cm="1">
        <f t="array" aca="1" ref="F420" ca="1">INDEX($O$2:$O$34,INT(A420/$Z$1)+1)</f>
        <v>83.730605534482365</v>
      </c>
      <c r="G420" cm="1">
        <f t="array" aca="1" ref="G420" ca="1">INDEX($O$2:$O$34,INT(A420/$Z$1)+2)</f>
        <v>81.426916341558666</v>
      </c>
      <c r="H420">
        <f t="shared" ca="1" si="51"/>
        <v>-7.1990287278865583E-2</v>
      </c>
      <c r="I420">
        <f t="shared" ca="1" si="52"/>
        <v>-0.14398057455773117</v>
      </c>
      <c r="J420" s="3">
        <f t="shared" ca="1" si="53"/>
        <v>83.586624959924634</v>
      </c>
      <c r="K420" s="3">
        <f t="shared" ca="1" si="54"/>
        <v>-2.013709962668031E-3</v>
      </c>
      <c r="L420" s="3"/>
    </row>
    <row r="421" spans="1:12" x14ac:dyDescent="0.3">
      <c r="A421">
        <v>419</v>
      </c>
      <c r="B421" s="2">
        <f t="shared" si="48"/>
        <v>6937.0860927152316</v>
      </c>
      <c r="C421" s="2">
        <f t="shared" si="49"/>
        <v>3.3138081016033565E-3</v>
      </c>
      <c r="D421" s="2">
        <f t="shared" si="50"/>
        <v>28.617624841088116</v>
      </c>
      <c r="E421" s="3">
        <f t="shared" si="55"/>
        <v>83.511724713958614</v>
      </c>
      <c r="F421" cm="1">
        <f t="array" aca="1" ref="F421" ca="1">INDEX($O$2:$O$34,INT(A421/$Z$1)+1)</f>
        <v>83.730605534482365</v>
      </c>
      <c r="G421" cm="1">
        <f t="array" aca="1" ref="G421" ca="1">INDEX($O$2:$O$34,INT(A421/$Z$1)+2)</f>
        <v>81.426916341558666</v>
      </c>
      <c r="H421">
        <f t="shared" ca="1" si="51"/>
        <v>-7.1990287278865583E-2</v>
      </c>
      <c r="I421">
        <f t="shared" ca="1" si="52"/>
        <v>-0.21597086183659675</v>
      </c>
      <c r="J421" s="3">
        <f t="shared" ca="1" si="53"/>
        <v>83.514634672645769</v>
      </c>
      <c r="K421" s="3">
        <f t="shared" ca="1" si="54"/>
        <v>-2.9099586871552674E-3</v>
      </c>
      <c r="L421" s="3"/>
    </row>
    <row r="422" spans="1:12" x14ac:dyDescent="0.3">
      <c r="A422">
        <v>420</v>
      </c>
      <c r="B422" s="2">
        <f t="shared" si="48"/>
        <v>6965.1741293532341</v>
      </c>
      <c r="C422" s="2">
        <f t="shared" si="49"/>
        <v>3.3142523785432516E-3</v>
      </c>
      <c r="D422" s="2">
        <f t="shared" si="50"/>
        <v>28.577172762727457</v>
      </c>
      <c r="E422" s="3">
        <f t="shared" si="55"/>
        <v>83.438910972909426</v>
      </c>
      <c r="F422" cm="1">
        <f t="array" aca="1" ref="F422" ca="1">INDEX($O$2:$O$34,INT(A422/$Z$1)+1)</f>
        <v>83.730605534482365</v>
      </c>
      <c r="G422" cm="1">
        <f t="array" aca="1" ref="G422" ca="1">INDEX($O$2:$O$34,INT(A422/$Z$1)+2)</f>
        <v>81.426916341558666</v>
      </c>
      <c r="H422">
        <f t="shared" ca="1" si="51"/>
        <v>-7.1990287278865583E-2</v>
      </c>
      <c r="I422">
        <f t="shared" ca="1" si="52"/>
        <v>-0.28796114911546233</v>
      </c>
      <c r="J422" s="3">
        <f t="shared" ca="1" si="53"/>
        <v>83.442644385366904</v>
      </c>
      <c r="K422" s="3">
        <f t="shared" ca="1" si="54"/>
        <v>-3.73341245747838E-3</v>
      </c>
      <c r="L422" s="3"/>
    </row>
    <row r="423" spans="1:12" x14ac:dyDescent="0.3">
      <c r="A423">
        <v>421</v>
      </c>
      <c r="B423" s="2">
        <f t="shared" si="48"/>
        <v>6993.3554817275744</v>
      </c>
      <c r="C423" s="2">
        <f t="shared" si="49"/>
        <v>3.3146963345736555E-3</v>
      </c>
      <c r="D423" s="2">
        <f t="shared" si="50"/>
        <v>28.536760735692724</v>
      </c>
      <c r="E423" s="3">
        <f t="shared" si="55"/>
        <v>83.366169324246897</v>
      </c>
      <c r="F423" cm="1">
        <f t="array" aca="1" ref="F423" ca="1">INDEX($O$2:$O$34,INT(A423/$Z$1)+1)</f>
        <v>83.730605534482365</v>
      </c>
      <c r="G423" cm="1">
        <f t="array" aca="1" ref="G423" ca="1">INDEX($O$2:$O$34,INT(A423/$Z$1)+2)</f>
        <v>81.426916341558666</v>
      </c>
      <c r="H423">
        <f t="shared" ca="1" si="51"/>
        <v>-7.1990287278865583E-2</v>
      </c>
      <c r="I423">
        <f t="shared" ca="1" si="52"/>
        <v>-0.35995143639432792</v>
      </c>
      <c r="J423" s="3">
        <f t="shared" ca="1" si="53"/>
        <v>83.370654098088039</v>
      </c>
      <c r="K423" s="3">
        <f t="shared" ca="1" si="54"/>
        <v>-4.4847738411419868E-3</v>
      </c>
      <c r="L423" s="3"/>
    </row>
    <row r="424" spans="1:12" x14ac:dyDescent="0.3">
      <c r="A424">
        <v>422</v>
      </c>
      <c r="B424" s="2">
        <f t="shared" si="48"/>
        <v>7021.630615640599</v>
      </c>
      <c r="C424" s="2">
        <f t="shared" si="49"/>
        <v>3.3151399736574758E-3</v>
      </c>
      <c r="D424" s="2">
        <f t="shared" si="50"/>
        <v>28.49638837157022</v>
      </c>
      <c r="E424" s="3">
        <f t="shared" si="55"/>
        <v>83.293499068826392</v>
      </c>
      <c r="F424" cm="1">
        <f t="array" aca="1" ref="F424" ca="1">INDEX($O$2:$O$34,INT(A424/$Z$1)+1)</f>
        <v>83.730605534482365</v>
      </c>
      <c r="G424" cm="1">
        <f t="array" aca="1" ref="G424" ca="1">INDEX($O$2:$O$34,INT(A424/$Z$1)+2)</f>
        <v>81.426916341558666</v>
      </c>
      <c r="H424">
        <f t="shared" ca="1" si="51"/>
        <v>-7.1990287278865583E-2</v>
      </c>
      <c r="I424">
        <f t="shared" ca="1" si="52"/>
        <v>-0.4319417236731935</v>
      </c>
      <c r="J424" s="3">
        <f t="shared" ca="1" si="53"/>
        <v>83.298663810809174</v>
      </c>
      <c r="K424" s="3">
        <f t="shared" ca="1" si="54"/>
        <v>-5.1647419827816066E-3</v>
      </c>
      <c r="L424" s="3"/>
    </row>
    <row r="425" spans="1:12" x14ac:dyDescent="0.3">
      <c r="A425">
        <v>423</v>
      </c>
      <c r="B425" s="2">
        <f t="shared" si="48"/>
        <v>7050</v>
      </c>
      <c r="C425" s="2">
        <f t="shared" si="49"/>
        <v>3.3155832997416438E-3</v>
      </c>
      <c r="D425" s="2">
        <f t="shared" si="50"/>
        <v>28.456055283823446</v>
      </c>
      <c r="E425" s="3">
        <f t="shared" si="55"/>
        <v>83.220899510882205</v>
      </c>
      <c r="F425" cm="1">
        <f t="array" aca="1" ref="F425" ca="1">INDEX($O$2:$O$34,INT(A425/$Z$1)+1)</f>
        <v>83.730605534482365</v>
      </c>
      <c r="G425" cm="1">
        <f t="array" aca="1" ref="G425" ca="1">INDEX($O$2:$O$34,INT(A425/$Z$1)+2)</f>
        <v>81.426916341558666</v>
      </c>
      <c r="H425">
        <f t="shared" ca="1" si="51"/>
        <v>-7.1990287278865583E-2</v>
      </c>
      <c r="I425">
        <f t="shared" ca="1" si="52"/>
        <v>-0.50393201095205908</v>
      </c>
      <c r="J425" s="3">
        <f t="shared" ca="1" si="53"/>
        <v>83.226673523530309</v>
      </c>
      <c r="K425" s="3">
        <f t="shared" ca="1" si="54"/>
        <v>-5.7740126481036214E-3</v>
      </c>
      <c r="L425" s="3"/>
    </row>
    <row r="426" spans="1:12" x14ac:dyDescent="0.3">
      <c r="A426">
        <v>424</v>
      </c>
      <c r="B426" s="2">
        <f t="shared" si="48"/>
        <v>7078.4641068447409</v>
      </c>
      <c r="C426" s="2">
        <f t="shared" si="49"/>
        <v>3.3160263167573457E-3</v>
      </c>
      <c r="D426" s="2">
        <f t="shared" si="50"/>
        <v>28.415761087768942</v>
      </c>
      <c r="E426" s="3">
        <f t="shared" si="55"/>
        <v>83.148369957984102</v>
      </c>
      <c r="F426" cm="1">
        <f t="array" aca="1" ref="F426" ca="1">INDEX($O$2:$O$34,INT(A426/$Z$1)+1)</f>
        <v>83.730605534482365</v>
      </c>
      <c r="G426" cm="1">
        <f t="array" aca="1" ref="G426" ca="1">INDEX($O$2:$O$34,INT(A426/$Z$1)+2)</f>
        <v>81.426916341558666</v>
      </c>
      <c r="H426">
        <f t="shared" ca="1" si="51"/>
        <v>-7.1990287278865583E-2</v>
      </c>
      <c r="I426">
        <f t="shared" ca="1" si="52"/>
        <v>-0.57592229823092467</v>
      </c>
      <c r="J426" s="3">
        <f t="shared" ca="1" si="53"/>
        <v>83.154683236251444</v>
      </c>
      <c r="K426" s="3">
        <f t="shared" ca="1" si="54"/>
        <v>-6.3132782673420706E-3</v>
      </c>
      <c r="L426" s="3"/>
    </row>
    <row r="427" spans="1:12" x14ac:dyDescent="0.3">
      <c r="A427">
        <v>425</v>
      </c>
      <c r="B427" s="2">
        <f t="shared" si="48"/>
        <v>7107.0234113712377</v>
      </c>
      <c r="C427" s="2">
        <f t="shared" si="49"/>
        <v>3.3164690286202518E-3</v>
      </c>
      <c r="D427" s="2">
        <f t="shared" si="50"/>
        <v>28.375505400552242</v>
      </c>
      <c r="E427" s="3">
        <f t="shared" si="55"/>
        <v>83.075909720994034</v>
      </c>
      <c r="F427" cm="1">
        <f t="array" aca="1" ref="F427" ca="1">INDEX($O$2:$O$34,INT(A427/$Z$1)+1)</f>
        <v>83.730605534482365</v>
      </c>
      <c r="G427" cm="1">
        <f t="array" aca="1" ref="G427" ca="1">INDEX($O$2:$O$34,INT(A427/$Z$1)+2)</f>
        <v>81.426916341558666</v>
      </c>
      <c r="H427">
        <f t="shared" ca="1" si="51"/>
        <v>-7.1990287278865583E-2</v>
      </c>
      <c r="I427">
        <f t="shared" ca="1" si="52"/>
        <v>-0.64791258550979025</v>
      </c>
      <c r="J427" s="3">
        <f t="shared" ca="1" si="53"/>
        <v>83.082692948972579</v>
      </c>
      <c r="K427" s="3">
        <f t="shared" ca="1" si="54"/>
        <v>-6.7832279785449145E-3</v>
      </c>
      <c r="L427" s="3"/>
    </row>
    <row r="428" spans="1:12" x14ac:dyDescent="0.3">
      <c r="A428">
        <v>426</v>
      </c>
      <c r="B428" s="2">
        <f t="shared" si="48"/>
        <v>7135.6783919597992</v>
      </c>
      <c r="C428" s="2">
        <f t="shared" si="49"/>
        <v>3.3169114392307456E-3</v>
      </c>
      <c r="D428" s="2">
        <f t="shared" si="50"/>
        <v>28.335287841124568</v>
      </c>
      <c r="E428" s="3">
        <f t="shared" si="55"/>
        <v>83.003518114024217</v>
      </c>
      <c r="F428" cm="1">
        <f t="array" aca="1" ref="F428" ca="1">INDEX($O$2:$O$34,INT(A428/$Z$1)+1)</f>
        <v>83.730605534482365</v>
      </c>
      <c r="G428" cm="1">
        <f t="array" aca="1" ref="G428" ca="1">INDEX($O$2:$O$34,INT(A428/$Z$1)+2)</f>
        <v>81.426916341558666</v>
      </c>
      <c r="H428">
        <f t="shared" ca="1" si="51"/>
        <v>-7.1990287278865583E-2</v>
      </c>
      <c r="I428">
        <f t="shared" ca="1" si="52"/>
        <v>-0.71990287278865583</v>
      </c>
      <c r="J428" s="3">
        <f t="shared" ca="1" si="53"/>
        <v>83.010702661693713</v>
      </c>
      <c r="K428" s="3">
        <f t="shared" ca="1" si="54"/>
        <v>-7.1845476694960553E-3</v>
      </c>
      <c r="L428" s="3"/>
    </row>
    <row r="429" spans="1:12" x14ac:dyDescent="0.3">
      <c r="A429">
        <v>427</v>
      </c>
      <c r="B429" s="2">
        <f t="shared" si="48"/>
        <v>7164.4295302013425</v>
      </c>
      <c r="C429" s="2">
        <f t="shared" si="49"/>
        <v>3.3173535524741475E-3</v>
      </c>
      <c r="D429" s="2">
        <f t="shared" si="50"/>
        <v>28.295108030218955</v>
      </c>
      <c r="E429" s="3">
        <f t="shared" si="55"/>
        <v>82.931194454394117</v>
      </c>
      <c r="F429" cm="1">
        <f t="array" aca="1" ref="F429" ca="1">INDEX($O$2:$O$34,INT(A429/$Z$1)+1)</f>
        <v>83.730605534482365</v>
      </c>
      <c r="G429" cm="1">
        <f t="array" aca="1" ref="G429" ca="1">INDEX($O$2:$O$34,INT(A429/$Z$1)+2)</f>
        <v>81.426916341558666</v>
      </c>
      <c r="H429">
        <f t="shared" ca="1" si="51"/>
        <v>-7.1990287278865583E-2</v>
      </c>
      <c r="I429">
        <f t="shared" ca="1" si="52"/>
        <v>-0.79189316006752142</v>
      </c>
      <c r="J429" s="3">
        <f t="shared" ca="1" si="53"/>
        <v>82.938712374414848</v>
      </c>
      <c r="K429" s="3">
        <f t="shared" ca="1" si="54"/>
        <v>-7.5179200207315944E-3</v>
      </c>
      <c r="L429" s="3"/>
    </row>
    <row r="430" spans="1:12" x14ac:dyDescent="0.3">
      <c r="A430">
        <v>428</v>
      </c>
      <c r="B430" s="2">
        <f t="shared" si="48"/>
        <v>7193.2773109243699</v>
      </c>
      <c r="C430" s="2">
        <f t="shared" si="49"/>
        <v>3.3177953722209413E-3</v>
      </c>
      <c r="D430" s="2">
        <f t="shared" si="50"/>
        <v>28.254965590327345</v>
      </c>
      <c r="E430" s="3">
        <f t="shared" si="55"/>
        <v>82.858938062589218</v>
      </c>
      <c r="F430" cm="1">
        <f t="array" aca="1" ref="F430" ca="1">INDEX($O$2:$O$34,INT(A430/$Z$1)+1)</f>
        <v>83.730605534482365</v>
      </c>
      <c r="G430" cm="1">
        <f t="array" aca="1" ref="G430" ca="1">INDEX($O$2:$O$34,INT(A430/$Z$1)+2)</f>
        <v>81.426916341558666</v>
      </c>
      <c r="H430">
        <f t="shared" ca="1" si="51"/>
        <v>-7.1990287278865583E-2</v>
      </c>
      <c r="I430">
        <f t="shared" ca="1" si="52"/>
        <v>-0.863883447346387</v>
      </c>
      <c r="J430" s="3">
        <f t="shared" ca="1" si="53"/>
        <v>82.866722087135983</v>
      </c>
      <c r="K430" s="3">
        <f t="shared" ca="1" si="54"/>
        <v>-7.7840245467655222E-3</v>
      </c>
      <c r="L430" s="3"/>
    </row>
    <row r="431" spans="1:12" x14ac:dyDescent="0.3">
      <c r="A431">
        <v>429</v>
      </c>
      <c r="B431" s="2">
        <f t="shared" si="48"/>
        <v>7222.2222222222226</v>
      </c>
      <c r="C431" s="2">
        <f t="shared" si="49"/>
        <v>3.318236902326994E-3</v>
      </c>
      <c r="D431" s="2">
        <f t="shared" si="50"/>
        <v>28.214860145677335</v>
      </c>
      <c r="E431" s="3">
        <f t="shared" si="55"/>
        <v>82.786748262219206</v>
      </c>
      <c r="F431" cm="1">
        <f t="array" aca="1" ref="F431" ca="1">INDEX($O$2:$O$34,INT(A431/$Z$1)+1)</f>
        <v>83.730605534482365</v>
      </c>
      <c r="G431" cm="1">
        <f t="array" aca="1" ref="G431" ca="1">INDEX($O$2:$O$34,INT(A431/$Z$1)+2)</f>
        <v>81.426916341558666</v>
      </c>
      <c r="H431">
        <f t="shared" ca="1" si="51"/>
        <v>-7.1990287278865583E-2</v>
      </c>
      <c r="I431">
        <f t="shared" ca="1" si="52"/>
        <v>-0.93587373462525258</v>
      </c>
      <c r="J431" s="3">
        <f t="shared" ca="1" si="53"/>
        <v>82.794731799857118</v>
      </c>
      <c r="K431" s="3">
        <f t="shared" ca="1" si="54"/>
        <v>-7.9835376379122636E-3</v>
      </c>
      <c r="L431" s="3"/>
    </row>
    <row r="432" spans="1:12" x14ac:dyDescent="0.3">
      <c r="A432">
        <v>430</v>
      </c>
      <c r="B432" s="2">
        <f t="shared" si="48"/>
        <v>7251.2647554806072</v>
      </c>
      <c r="C432" s="2">
        <f t="shared" si="49"/>
        <v>3.318678146633777E-3</v>
      </c>
      <c r="D432" s="2">
        <f t="shared" si="50"/>
        <v>28.174791322209558</v>
      </c>
      <c r="E432" s="3">
        <f t="shared" si="55"/>
        <v>82.714624379977209</v>
      </c>
      <c r="F432" cm="1">
        <f t="array" aca="1" ref="F432" ca="1">INDEX($O$2:$O$34,INT(A432/$Z$1)+1)</f>
        <v>83.730605534482365</v>
      </c>
      <c r="G432" cm="1">
        <f t="array" aca="1" ref="G432" ca="1">INDEX($O$2:$O$34,INT(A432/$Z$1)+2)</f>
        <v>81.426916341558666</v>
      </c>
      <c r="H432">
        <f t="shared" ca="1" si="51"/>
        <v>-7.1990287278865583E-2</v>
      </c>
      <c r="I432">
        <f t="shared" ca="1" si="52"/>
        <v>-1.0078640219041182</v>
      </c>
      <c r="J432" s="3">
        <f t="shared" ca="1" si="53"/>
        <v>82.722741512578253</v>
      </c>
      <c r="K432" s="3">
        <f t="shared" ca="1" si="54"/>
        <v>-8.1171326010434086E-3</v>
      </c>
      <c r="L432" s="3"/>
    </row>
    <row r="433" spans="1:12" x14ac:dyDescent="0.3">
      <c r="A433">
        <v>431</v>
      </c>
      <c r="B433" s="2">
        <f t="shared" si="48"/>
        <v>7280.405405405405</v>
      </c>
      <c r="C433" s="2">
        <f t="shared" si="49"/>
        <v>3.3191191089685839E-3</v>
      </c>
      <c r="D433" s="2">
        <f t="shared" si="50"/>
        <v>28.134758747555168</v>
      </c>
      <c r="E433" s="3">
        <f t="shared" si="55"/>
        <v>82.642565745599299</v>
      </c>
      <c r="F433" cm="1">
        <f t="array" aca="1" ref="F433" ca="1">INDEX($O$2:$O$34,INT(A433/$Z$1)+1)</f>
        <v>83.730605534482365</v>
      </c>
      <c r="G433" cm="1">
        <f t="array" aca="1" ref="G433" ca="1">INDEX($O$2:$O$34,INT(A433/$Z$1)+2)</f>
        <v>81.426916341558666</v>
      </c>
      <c r="H433">
        <f t="shared" ca="1" si="51"/>
        <v>-7.1990287278865583E-2</v>
      </c>
      <c r="I433">
        <f t="shared" ca="1" si="52"/>
        <v>-1.0798543091829838</v>
      </c>
      <c r="J433" s="3">
        <f t="shared" ca="1" si="53"/>
        <v>82.650751225299388</v>
      </c>
      <c r="K433" s="3">
        <f t="shared" ca="1" si="54"/>
        <v>-8.1854797000886492E-3</v>
      </c>
      <c r="L433" s="3"/>
    </row>
    <row r="434" spans="1:12" x14ac:dyDescent="0.3">
      <c r="A434">
        <v>432</v>
      </c>
      <c r="B434" s="2">
        <f t="shared" si="48"/>
        <v>7309.6446700507613</v>
      </c>
      <c r="C434" s="2">
        <f t="shared" si="49"/>
        <v>3.3195597931447471E-3</v>
      </c>
      <c r="D434" s="2">
        <f t="shared" si="50"/>
        <v>28.09476205101322</v>
      </c>
      <c r="E434" s="3">
        <f t="shared" si="55"/>
        <v>82.570571691823801</v>
      </c>
      <c r="F434" cm="1">
        <f t="array" aca="1" ref="F434" ca="1">INDEX($O$2:$O$34,INT(A434/$Z$1)+1)</f>
        <v>83.730605534482365</v>
      </c>
      <c r="G434" cm="1">
        <f t="array" aca="1" ref="G434" ca="1">INDEX($O$2:$O$34,INT(A434/$Z$1)+2)</f>
        <v>81.426916341558666</v>
      </c>
      <c r="H434">
        <f t="shared" ca="1" si="51"/>
        <v>-7.1990287278865583E-2</v>
      </c>
      <c r="I434">
        <f t="shared" ca="1" si="52"/>
        <v>-1.1518445964618493</v>
      </c>
      <c r="J434" s="3">
        <f t="shared" ca="1" si="53"/>
        <v>82.578760938020508</v>
      </c>
      <c r="K434" s="3">
        <f t="shared" ca="1" si="54"/>
        <v>-8.189246196707245E-3</v>
      </c>
      <c r="L434" s="3"/>
    </row>
    <row r="435" spans="1:12" x14ac:dyDescent="0.3">
      <c r="A435">
        <v>433</v>
      </c>
      <c r="B435" s="2">
        <f t="shared" si="48"/>
        <v>7338.9830508474579</v>
      </c>
      <c r="C435" s="2">
        <f t="shared" si="49"/>
        <v>3.3200002029618522E-3</v>
      </c>
      <c r="D435" s="2">
        <f t="shared" si="50"/>
        <v>28.05480086352884</v>
      </c>
      <c r="E435" s="3">
        <f t="shared" si="55"/>
        <v>82.498641554351906</v>
      </c>
      <c r="F435" cm="1">
        <f t="array" aca="1" ref="F435" ca="1">INDEX($O$2:$O$34,INT(A435/$Z$1)+1)</f>
        <v>83.730605534482365</v>
      </c>
      <c r="G435" cm="1">
        <f t="array" aca="1" ref="G435" ca="1">INDEX($O$2:$O$34,INT(A435/$Z$1)+2)</f>
        <v>81.426916341558666</v>
      </c>
      <c r="H435">
        <f t="shared" ca="1" si="51"/>
        <v>-7.1990287278865583E-2</v>
      </c>
      <c r="I435">
        <f t="shared" ca="1" si="52"/>
        <v>-1.2238348837407149</v>
      </c>
      <c r="J435" s="3">
        <f t="shared" ca="1" si="53"/>
        <v>82.506770650741643</v>
      </c>
      <c r="K435" s="3">
        <f t="shared" ca="1" si="54"/>
        <v>-8.1290963897373558E-3</v>
      </c>
      <c r="L435" s="3"/>
    </row>
    <row r="436" spans="1:12" x14ac:dyDescent="0.3">
      <c r="A436">
        <v>434</v>
      </c>
      <c r="B436" s="2">
        <f t="shared" si="48"/>
        <v>7368.4210526315792</v>
      </c>
      <c r="C436" s="2">
        <f t="shared" si="49"/>
        <v>3.3204403422059502E-3</v>
      </c>
      <c r="D436" s="2">
        <f t="shared" si="50"/>
        <v>28.014874817671114</v>
      </c>
      <c r="E436" s="3">
        <f t="shared" si="55"/>
        <v>82.426774671808005</v>
      </c>
      <c r="F436" cm="1">
        <f t="array" aca="1" ref="F436" ca="1">INDEX($O$2:$O$34,INT(A436/$Z$1)+1)</f>
        <v>83.730605534482365</v>
      </c>
      <c r="G436" cm="1">
        <f t="array" aca="1" ref="G436" ca="1">INDEX($O$2:$O$34,INT(A436/$Z$1)+2)</f>
        <v>81.426916341558666</v>
      </c>
      <c r="H436">
        <f t="shared" ca="1" si="51"/>
        <v>-7.1990287278865583E-2</v>
      </c>
      <c r="I436">
        <f t="shared" ca="1" si="52"/>
        <v>-1.2958251710195805</v>
      </c>
      <c r="J436" s="3">
        <f t="shared" ca="1" si="53"/>
        <v>82.434780363462778</v>
      </c>
      <c r="K436" s="3">
        <f t="shared" ca="1" si="54"/>
        <v>-8.0056916547732726E-3</v>
      </c>
      <c r="L436" s="3"/>
    </row>
    <row r="437" spans="1:12" x14ac:dyDescent="0.3">
      <c r="A437">
        <v>435</v>
      </c>
      <c r="B437" s="2">
        <f t="shared" si="48"/>
        <v>7397.9591836734689</v>
      </c>
      <c r="C437" s="2">
        <f t="shared" si="49"/>
        <v>3.3208802146497706E-3</v>
      </c>
      <c r="D437" s="2">
        <f t="shared" si="50"/>
        <v>27.974983547611316</v>
      </c>
      <c r="E437" s="3">
        <f t="shared" si="55"/>
        <v>82.354970385700369</v>
      </c>
      <c r="F437" cm="1">
        <f t="array" aca="1" ref="F437" ca="1">INDEX($O$2:$O$34,INT(A437/$Z$1)+1)</f>
        <v>83.730605534482365</v>
      </c>
      <c r="G437" cm="1">
        <f t="array" aca="1" ref="G437" ca="1">INDEX($O$2:$O$34,INT(A437/$Z$1)+2)</f>
        <v>81.426916341558666</v>
      </c>
      <c r="H437">
        <f t="shared" ca="1" si="51"/>
        <v>-7.1990287278865583E-2</v>
      </c>
      <c r="I437">
        <f t="shared" ca="1" si="52"/>
        <v>-1.3678154582984461</v>
      </c>
      <c r="J437" s="3">
        <f t="shared" ca="1" si="53"/>
        <v>82.362790076183913</v>
      </c>
      <c r="K437" s="3">
        <f t="shared" ca="1" si="54"/>
        <v>-7.8196904835436953E-3</v>
      </c>
      <c r="L437" s="3"/>
    </row>
    <row r="438" spans="1:12" x14ac:dyDescent="0.3">
      <c r="A438">
        <v>436</v>
      </c>
      <c r="B438" s="2">
        <f t="shared" si="48"/>
        <v>7427.597955706985</v>
      </c>
      <c r="C438" s="2">
        <f t="shared" si="49"/>
        <v>3.321319824052928E-3</v>
      </c>
      <c r="D438" s="2">
        <f t="shared" si="50"/>
        <v>27.93512668910148</v>
      </c>
      <c r="E438" s="3">
        <f t="shared" si="55"/>
        <v>82.283228040382667</v>
      </c>
      <c r="F438" cm="1">
        <f t="array" aca="1" ref="F438" ca="1">INDEX($O$2:$O$34,INT(A438/$Z$1)+1)</f>
        <v>83.730605534482365</v>
      </c>
      <c r="G438" cm="1">
        <f t="array" aca="1" ref="G438" ca="1">INDEX($O$2:$O$34,INT(A438/$Z$1)+2)</f>
        <v>81.426916341558666</v>
      </c>
      <c r="H438">
        <f t="shared" ca="1" si="51"/>
        <v>-7.1990287278865583E-2</v>
      </c>
      <c r="I438">
        <f t="shared" ca="1" si="52"/>
        <v>-1.4398057455773117</v>
      </c>
      <c r="J438" s="3">
        <f t="shared" ca="1" si="53"/>
        <v>82.290799788905048</v>
      </c>
      <c r="K438" s="3">
        <f t="shared" ca="1" si="54"/>
        <v>-7.571748522380517E-3</v>
      </c>
      <c r="L438" s="3"/>
    </row>
    <row r="439" spans="1:12" x14ac:dyDescent="0.3">
      <c r="A439">
        <v>437</v>
      </c>
      <c r="B439" s="2">
        <f t="shared" si="48"/>
        <v>7457.3378839590441</v>
      </c>
      <c r="C439" s="2">
        <f t="shared" si="49"/>
        <v>3.3217591741621331E-3</v>
      </c>
      <c r="D439" s="2">
        <f t="shared" si="50"/>
        <v>27.895303879452968</v>
      </c>
      <c r="E439" s="3">
        <f t="shared" si="55"/>
        <v>82.211546983015339</v>
      </c>
      <c r="F439" cm="1">
        <f t="array" aca="1" ref="F439" ca="1">INDEX($O$2:$O$34,INT(A439/$Z$1)+1)</f>
        <v>83.730605534482365</v>
      </c>
      <c r="G439" cm="1">
        <f t="array" aca="1" ref="G439" ca="1">INDEX($O$2:$O$34,INT(A439/$Z$1)+2)</f>
        <v>81.426916341558666</v>
      </c>
      <c r="H439">
        <f t="shared" ca="1" si="51"/>
        <v>-7.1990287278865583E-2</v>
      </c>
      <c r="I439">
        <f t="shared" ca="1" si="52"/>
        <v>-1.5117960328561773</v>
      </c>
      <c r="J439" s="3">
        <f t="shared" ca="1" si="53"/>
        <v>82.218809501626183</v>
      </c>
      <c r="K439" s="3">
        <f t="shared" ca="1" si="54"/>
        <v>-7.2625186108439266E-3</v>
      </c>
      <c r="L439" s="3"/>
    </row>
    <row r="440" spans="1:12" x14ac:dyDescent="0.3">
      <c r="A440">
        <v>438</v>
      </c>
      <c r="B440" s="2">
        <f t="shared" si="48"/>
        <v>7487.1794871794873</v>
      </c>
      <c r="C440" s="2">
        <f t="shared" si="49"/>
        <v>3.3221982687113957E-3</v>
      </c>
      <c r="D440" s="2">
        <f t="shared" si="50"/>
        <v>27.85551475751538</v>
      </c>
      <c r="E440" s="3">
        <f t="shared" si="55"/>
        <v>82.139926563527681</v>
      </c>
      <c r="F440" cm="1">
        <f t="array" aca="1" ref="F440" ca="1">INDEX($O$2:$O$34,INT(A440/$Z$1)+1)</f>
        <v>83.730605534482365</v>
      </c>
      <c r="G440" cm="1">
        <f t="array" aca="1" ref="G440" ca="1">INDEX($O$2:$O$34,INT(A440/$Z$1)+2)</f>
        <v>81.426916341558666</v>
      </c>
      <c r="H440">
        <f t="shared" ca="1" si="51"/>
        <v>-7.1990287278865583E-2</v>
      </c>
      <c r="I440">
        <f t="shared" ca="1" si="52"/>
        <v>-1.5837863201350428</v>
      </c>
      <c r="J440" s="3">
        <f t="shared" ca="1" si="53"/>
        <v>82.146819214347317</v>
      </c>
      <c r="K440" s="3">
        <f t="shared" ca="1" si="54"/>
        <v>-6.8926508196369696E-3</v>
      </c>
      <c r="L440" s="3"/>
    </row>
    <row r="441" spans="1:12" x14ac:dyDescent="0.3">
      <c r="A441">
        <v>439</v>
      </c>
      <c r="B441" s="2">
        <f t="shared" si="48"/>
        <v>7517.1232876712329</v>
      </c>
      <c r="C441" s="2">
        <f t="shared" si="49"/>
        <v>3.3226371114222319E-3</v>
      </c>
      <c r="D441" s="2">
        <f t="shared" si="50"/>
        <v>27.815758963655526</v>
      </c>
      <c r="E441" s="3">
        <f t="shared" si="55"/>
        <v>82.068366134579946</v>
      </c>
      <c r="F441" cm="1">
        <f t="array" aca="1" ref="F441" ca="1">INDEX($O$2:$O$34,INT(A441/$Z$1)+1)</f>
        <v>83.730605534482365</v>
      </c>
      <c r="G441" cm="1">
        <f t="array" aca="1" ref="G441" ca="1">INDEX($O$2:$O$34,INT(A441/$Z$1)+2)</f>
        <v>81.426916341558666</v>
      </c>
      <c r="H441">
        <f t="shared" ca="1" si="51"/>
        <v>-7.1990287278865583E-2</v>
      </c>
      <c r="I441">
        <f t="shared" ca="1" si="52"/>
        <v>-1.6557766074139084</v>
      </c>
      <c r="J441" s="3">
        <f t="shared" ca="1" si="53"/>
        <v>82.074828927068452</v>
      </c>
      <c r="K441" s="3">
        <f t="shared" ca="1" si="54"/>
        <v>-6.4627924885058974E-3</v>
      </c>
      <c r="L441" s="3"/>
    </row>
    <row r="442" spans="1:12" x14ac:dyDescent="0.3">
      <c r="A442">
        <v>440</v>
      </c>
      <c r="B442" s="2">
        <f t="shared" si="48"/>
        <v>7547.1698113207549</v>
      </c>
      <c r="C442" s="2">
        <f t="shared" si="49"/>
        <v>3.3230757060038652E-3</v>
      </c>
      <c r="D442" s="2">
        <f t="shared" si="50"/>
        <v>27.776036139736675</v>
      </c>
      <c r="E442" s="3">
        <f t="shared" si="55"/>
        <v>81.996865051526015</v>
      </c>
      <c r="F442" cm="1">
        <f t="array" aca="1" ref="F442" ca="1">INDEX($O$2:$O$34,INT(A442/$Z$1)+1)</f>
        <v>83.730605534482365</v>
      </c>
      <c r="G442" cm="1">
        <f t="array" aca="1" ref="G442" ca="1">INDEX($O$2:$O$34,INT(A442/$Z$1)+2)</f>
        <v>81.426916341558666</v>
      </c>
      <c r="H442">
        <f t="shared" ca="1" si="51"/>
        <v>-7.1990287278865583E-2</v>
      </c>
      <c r="I442">
        <f t="shared" ca="1" si="52"/>
        <v>-1.727766894692774</v>
      </c>
      <c r="J442" s="3">
        <f t="shared" ca="1" si="53"/>
        <v>82.002838639789587</v>
      </c>
      <c r="K442" s="3">
        <f t="shared" ca="1" si="54"/>
        <v>-5.9735882635720827E-3</v>
      </c>
      <c r="L442" s="3"/>
    </row>
    <row r="443" spans="1:12" x14ac:dyDescent="0.3">
      <c r="A443">
        <v>441</v>
      </c>
      <c r="B443" s="2">
        <f t="shared" si="48"/>
        <v>7577.3195876288664</v>
      </c>
      <c r="C443" s="2">
        <f t="shared" si="49"/>
        <v>3.3235140561534292E-3</v>
      </c>
      <c r="D443" s="2">
        <f t="shared" si="50"/>
        <v>27.736345929097922</v>
      </c>
      <c r="E443" s="3">
        <f t="shared" si="55"/>
        <v>81.925422672376257</v>
      </c>
      <c r="F443" cm="1">
        <f t="array" aca="1" ref="F443" ca="1">INDEX($O$2:$O$34,INT(A443/$Z$1)+1)</f>
        <v>83.730605534482365</v>
      </c>
      <c r="G443" cm="1">
        <f t="array" aca="1" ref="G443" ca="1">INDEX($O$2:$O$34,INT(A443/$Z$1)+2)</f>
        <v>81.426916341558666</v>
      </c>
      <c r="H443">
        <f t="shared" ca="1" si="51"/>
        <v>-7.1990287278865583E-2</v>
      </c>
      <c r="I443">
        <f t="shared" ca="1" si="52"/>
        <v>-1.7997571819716396</v>
      </c>
      <c r="J443" s="3">
        <f t="shared" ca="1" si="53"/>
        <v>81.930848352510722</v>
      </c>
      <c r="K443" s="3">
        <f t="shared" ca="1" si="54"/>
        <v>-5.425680134464983E-3</v>
      </c>
      <c r="L443" s="3"/>
    </row>
    <row r="444" spans="1:12" x14ac:dyDescent="0.3">
      <c r="A444">
        <v>442</v>
      </c>
      <c r="B444" s="2">
        <f t="shared" si="48"/>
        <v>7607.5731497418246</v>
      </c>
      <c r="C444" s="2">
        <f t="shared" si="49"/>
        <v>3.3239521655561662E-3</v>
      </c>
      <c r="D444" s="2">
        <f t="shared" si="50"/>
        <v>27.696687976533894</v>
      </c>
      <c r="E444" s="3">
        <f t="shared" si="55"/>
        <v>81.854038357761013</v>
      </c>
      <c r="F444" cm="1">
        <f t="array" aca="1" ref="F444" ca="1">INDEX($O$2:$O$34,INT(A444/$Z$1)+1)</f>
        <v>83.730605534482365</v>
      </c>
      <c r="G444" cm="1">
        <f t="array" aca="1" ref="G444" ca="1">INDEX($O$2:$O$34,INT(A444/$Z$1)+2)</f>
        <v>81.426916341558666</v>
      </c>
      <c r="H444">
        <f t="shared" ca="1" si="51"/>
        <v>-7.1990287278865583E-2</v>
      </c>
      <c r="I444">
        <f t="shared" ca="1" si="52"/>
        <v>-1.8717474692505052</v>
      </c>
      <c r="J444" s="3">
        <f t="shared" ca="1" si="53"/>
        <v>81.858858065231857</v>
      </c>
      <c r="K444" s="3">
        <f t="shared" ca="1" si="54"/>
        <v>-4.8197074708440368E-3</v>
      </c>
      <c r="L444" s="3"/>
    </row>
    <row r="445" spans="1:12" x14ac:dyDescent="0.3">
      <c r="A445">
        <v>443</v>
      </c>
      <c r="B445" s="2">
        <f t="shared" si="48"/>
        <v>7637.9310344827591</v>
      </c>
      <c r="C445" s="2">
        <f t="shared" si="49"/>
        <v>3.3243900378856269E-3</v>
      </c>
      <c r="D445" s="2">
        <f t="shared" si="50"/>
        <v>27.657061928274345</v>
      </c>
      <c r="E445" s="3">
        <f t="shared" si="55"/>
        <v>81.782711470893815</v>
      </c>
      <c r="F445" cm="1">
        <f t="array" aca="1" ref="F445" ca="1">INDEX($O$2:$O$34,INT(A445/$Z$1)+1)</f>
        <v>83.730605534482365</v>
      </c>
      <c r="G445" cm="1">
        <f t="array" aca="1" ref="G445" ca="1">INDEX($O$2:$O$34,INT(A445/$Z$1)+2)</f>
        <v>81.426916341558666</v>
      </c>
      <c r="H445">
        <f t="shared" ca="1" si="51"/>
        <v>-7.1990287278865583E-2</v>
      </c>
      <c r="I445">
        <f t="shared" ca="1" si="52"/>
        <v>-1.9437377565293708</v>
      </c>
      <c r="J445" s="3">
        <f t="shared" ca="1" si="53"/>
        <v>81.786867777952992</v>
      </c>
      <c r="K445" s="3">
        <f t="shared" ca="1" si="54"/>
        <v>-4.1563070591763562E-3</v>
      </c>
      <c r="L445" s="3"/>
    </row>
    <row r="446" spans="1:12" x14ac:dyDescent="0.3">
      <c r="A446">
        <v>444</v>
      </c>
      <c r="B446" s="2">
        <f t="shared" si="48"/>
        <v>7668.3937823834194</v>
      </c>
      <c r="C446" s="2">
        <f t="shared" si="49"/>
        <v>3.324827676803868E-3</v>
      </c>
      <c r="D446" s="2">
        <f t="shared" si="50"/>
        <v>27.61746743196403</v>
      </c>
      <c r="E446" s="3">
        <f t="shared" si="55"/>
        <v>81.711441377535252</v>
      </c>
      <c r="F446" cm="1">
        <f t="array" aca="1" ref="F446" ca="1">INDEX($O$2:$O$34,INT(A446/$Z$1)+1)</f>
        <v>83.730605534482365</v>
      </c>
      <c r="G446" cm="1">
        <f t="array" aca="1" ref="G446" ca="1">INDEX($O$2:$O$34,INT(A446/$Z$1)+2)</f>
        <v>81.426916341558666</v>
      </c>
      <c r="H446">
        <f t="shared" ca="1" si="51"/>
        <v>-7.1990287278865583E-2</v>
      </c>
      <c r="I446">
        <f t="shared" ca="1" si="52"/>
        <v>-2.0157280438082363</v>
      </c>
      <c r="J446" s="3">
        <f t="shared" ca="1" si="53"/>
        <v>81.714877490674127</v>
      </c>
      <c r="K446" s="3">
        <f t="shared" ca="1" si="54"/>
        <v>-3.43611313887493E-3</v>
      </c>
      <c r="L446" s="3"/>
    </row>
    <row r="447" spans="1:12" x14ac:dyDescent="0.3">
      <c r="A447">
        <v>445</v>
      </c>
      <c r="B447" s="2">
        <f t="shared" si="48"/>
        <v>7698.9619377162626</v>
      </c>
      <c r="C447" s="2">
        <f t="shared" si="49"/>
        <v>3.3252650859616449E-3</v>
      </c>
      <c r="D447" s="2">
        <f t="shared" si="50"/>
        <v>27.577904136643156</v>
      </c>
      <c r="E447" s="3">
        <f t="shared" si="55"/>
        <v>81.640227445957677</v>
      </c>
      <c r="F447" cm="1">
        <f t="array" aca="1" ref="F447" ca="1">INDEX($O$2:$O$34,INT(A447/$Z$1)+1)</f>
        <v>83.730605534482365</v>
      </c>
      <c r="G447" cm="1">
        <f t="array" aca="1" ref="G447" ca="1">INDEX($O$2:$O$34,INT(A447/$Z$1)+2)</f>
        <v>81.426916341558666</v>
      </c>
      <c r="H447">
        <f t="shared" ca="1" si="51"/>
        <v>-7.1990287278865583E-2</v>
      </c>
      <c r="I447">
        <f t="shared" ca="1" si="52"/>
        <v>-2.0877183310871019</v>
      </c>
      <c r="J447" s="3">
        <f t="shared" ca="1" si="53"/>
        <v>81.642887203395262</v>
      </c>
      <c r="K447" s="3">
        <f t="shared" ca="1" si="54"/>
        <v>-2.6597574375841759E-3</v>
      </c>
      <c r="L447" s="3"/>
    </row>
    <row r="448" spans="1:12" x14ac:dyDescent="0.3">
      <c r="A448">
        <v>446</v>
      </c>
      <c r="B448" s="2">
        <f t="shared" si="48"/>
        <v>7729.6360485268633</v>
      </c>
      <c r="C448" s="2">
        <f t="shared" si="49"/>
        <v>3.3257022689986088E-3</v>
      </c>
      <c r="D448" s="2">
        <f t="shared" si="50"/>
        <v>27.538371692727253</v>
      </c>
      <c r="E448" s="3">
        <f t="shared" si="55"/>
        <v>81.56906904690905</v>
      </c>
      <c r="F448" cm="1">
        <f t="array" aca="1" ref="F448" ca="1">INDEX($O$2:$O$34,INT(A448/$Z$1)+1)</f>
        <v>83.730605534482365</v>
      </c>
      <c r="G448" cm="1">
        <f t="array" aca="1" ref="G448" ca="1">INDEX($O$2:$O$34,INT(A448/$Z$1)+2)</f>
        <v>81.426916341558666</v>
      </c>
      <c r="H448">
        <f t="shared" ca="1" si="51"/>
        <v>-7.1990287278865583E-2</v>
      </c>
      <c r="I448">
        <f t="shared" ca="1" si="52"/>
        <v>-2.1597086183659675</v>
      </c>
      <c r="J448" s="3">
        <f t="shared" ca="1" si="53"/>
        <v>81.570896916116396</v>
      </c>
      <c r="K448" s="3">
        <f t="shared" ca="1" si="54"/>
        <v>-1.8278692073465663E-3</v>
      </c>
      <c r="L448" s="3"/>
    </row>
    <row r="449" spans="1:12" x14ac:dyDescent="0.3">
      <c r="A449">
        <v>447</v>
      </c>
      <c r="B449" s="2">
        <f t="shared" si="48"/>
        <v>7760.416666666667</v>
      </c>
      <c r="C449" s="2">
        <f t="shared" si="49"/>
        <v>3.3261392295434985E-3</v>
      </c>
      <c r="D449" s="2">
        <f t="shared" si="50"/>
        <v>27.498869751987741</v>
      </c>
      <c r="E449" s="3">
        <f t="shared" si="55"/>
        <v>81.497965553577927</v>
      </c>
      <c r="F449" cm="1">
        <f t="array" aca="1" ref="F449" ca="1">INDEX($O$2:$O$34,INT(A449/$Z$1)+1)</f>
        <v>83.730605534482365</v>
      </c>
      <c r="G449" cm="1">
        <f t="array" aca="1" ref="G449" ca="1">INDEX($O$2:$O$34,INT(A449/$Z$1)+2)</f>
        <v>81.426916341558666</v>
      </c>
      <c r="H449">
        <f t="shared" ca="1" si="51"/>
        <v>-7.1990287278865583E-2</v>
      </c>
      <c r="I449">
        <f t="shared" ca="1" si="52"/>
        <v>-2.2316989056448331</v>
      </c>
      <c r="J449" s="3">
        <f t="shared" ca="1" si="53"/>
        <v>81.498906628837531</v>
      </c>
      <c r="K449" s="3">
        <f t="shared" ca="1" si="54"/>
        <v>-9.4107525960396288E-4</v>
      </c>
      <c r="L449" s="3"/>
    </row>
    <row r="450" spans="1:12" x14ac:dyDescent="0.3">
      <c r="A450">
        <v>448</v>
      </c>
      <c r="B450" s="2">
        <f t="shared" ref="B450:B513" si="56">$T$1*A450/($V$1-A450)</f>
        <v>7791.304347826087</v>
      </c>
      <c r="C450" s="2">
        <f t="shared" ref="C450:C513" si="57">LOG(B450/$T$2)/$T$3 + (1/$X$2)</f>
        <v>3.3265759712143312E-3</v>
      </c>
      <c r="D450" s="2">
        <f t="shared" ref="D450:D513" si="58">1/C450 - 273.15</f>
        <v>27.459397967532595</v>
      </c>
      <c r="E450" s="3">
        <f t="shared" si="55"/>
        <v>81.426916341558666</v>
      </c>
      <c r="F450" cm="1">
        <f t="array" aca="1" ref="F450" ca="1">INDEX($O$2:$O$34,INT(A450/$Z$1)+1)</f>
        <v>81.426916341558666</v>
      </c>
      <c r="G450" cm="1">
        <f t="array" aca="1" ref="G450" ca="1">INDEX($O$2:$O$34,INT(A450/$Z$1)+2)</f>
        <v>79.17837905124243</v>
      </c>
      <c r="H450">
        <f t="shared" ca="1" si="51"/>
        <v>-7.0266790322382366E-2</v>
      </c>
      <c r="I450">
        <f t="shared" ca="1" si="52"/>
        <v>0</v>
      </c>
      <c r="J450" s="3">
        <f t="shared" ca="1" si="53"/>
        <v>81.426916341558666</v>
      </c>
      <c r="K450" s="3">
        <f t="shared" ca="1" si="54"/>
        <v>0</v>
      </c>
      <c r="L450" s="3"/>
    </row>
    <row r="451" spans="1:12" x14ac:dyDescent="0.3">
      <c r="A451">
        <v>449</v>
      </c>
      <c r="B451" s="2">
        <f t="shared" si="56"/>
        <v>7822.2996515679442</v>
      </c>
      <c r="C451" s="2">
        <f t="shared" si="57"/>
        <v>3.3270124976185933E-3</v>
      </c>
      <c r="D451" s="2">
        <f t="shared" si="58"/>
        <v>27.419955993787028</v>
      </c>
      <c r="E451" s="3">
        <f t="shared" si="55"/>
        <v>81.355920788816647</v>
      </c>
      <c r="F451" cm="1">
        <f t="array" aca="1" ref="F451" ca="1">INDEX($O$2:$O$34,INT(A451/$Z$1)+1)</f>
        <v>81.426916341558666</v>
      </c>
      <c r="G451" cm="1">
        <f t="array" aca="1" ref="G451" ca="1">INDEX($O$2:$O$34,INT(A451/$Z$1)+2)</f>
        <v>79.17837905124243</v>
      </c>
      <c r="H451">
        <f t="shared" ref="H451:H514" ca="1" si="59">(G451-F451)/$Z$1</f>
        <v>-7.0266790322382366E-2</v>
      </c>
      <c r="I451">
        <f t="shared" ref="I451:I514" ca="1" si="60">H451*MOD(A451,$Z$1)</f>
        <v>-7.0266790322382366E-2</v>
      </c>
      <c r="J451" s="3">
        <f t="shared" ref="J451:J514" ca="1" si="61">F451+I451</f>
        <v>81.356649551236288</v>
      </c>
      <c r="K451" s="3">
        <f t="shared" ref="K451:K514" ca="1" si="62">E451-J451</f>
        <v>-7.2876241964081601E-4</v>
      </c>
      <c r="L451" s="3"/>
    </row>
    <row r="452" spans="1:12" x14ac:dyDescent="0.3">
      <c r="A452">
        <v>450</v>
      </c>
      <c r="B452" s="2">
        <f t="shared" si="56"/>
        <v>7853.4031413612565</v>
      </c>
      <c r="C452" s="2">
        <f t="shared" si="57"/>
        <v>3.32744881235343E-3</v>
      </c>
      <c r="D452" s="2">
        <f t="shared" si="58"/>
        <v>27.38054348647438</v>
      </c>
      <c r="E452" s="3">
        <f t="shared" ref="E452:E515" si="63">D452*9/5 + 32</f>
        <v>81.284978275653884</v>
      </c>
      <c r="F452" cm="1">
        <f t="array" aca="1" ref="F452" ca="1">INDEX($O$2:$O$34,INT(A452/$Z$1)+1)</f>
        <v>81.426916341558666</v>
      </c>
      <c r="G452" cm="1">
        <f t="array" aca="1" ref="G452" ca="1">INDEX($O$2:$O$34,INT(A452/$Z$1)+2)</f>
        <v>79.17837905124243</v>
      </c>
      <c r="H452">
        <f t="shared" ca="1" si="59"/>
        <v>-7.0266790322382366E-2</v>
      </c>
      <c r="I452">
        <f t="shared" ca="1" si="60"/>
        <v>-0.14053358064476473</v>
      </c>
      <c r="J452" s="3">
        <f t="shared" ca="1" si="61"/>
        <v>81.286382760913895</v>
      </c>
      <c r="K452" s="3">
        <f t="shared" ca="1" si="62"/>
        <v>-1.4044852600108015E-3</v>
      </c>
      <c r="L452" s="3"/>
    </row>
    <row r="453" spans="1:12" x14ac:dyDescent="0.3">
      <c r="A453">
        <v>451</v>
      </c>
      <c r="B453" s="2">
        <f t="shared" si="56"/>
        <v>7884.6153846153848</v>
      </c>
      <c r="C453" s="2">
        <f t="shared" si="57"/>
        <v>3.3278849190058308E-3</v>
      </c>
      <c r="D453" s="2">
        <f t="shared" si="58"/>
        <v>27.341160102597257</v>
      </c>
      <c r="E453" s="3">
        <f t="shared" si="63"/>
        <v>81.214088184675063</v>
      </c>
      <c r="F453" cm="1">
        <f t="array" aca="1" ref="F453" ca="1">INDEX($O$2:$O$34,INT(A453/$Z$1)+1)</f>
        <v>81.426916341558666</v>
      </c>
      <c r="G453" cm="1">
        <f t="array" aca="1" ref="G453" ca="1">INDEX($O$2:$O$34,INT(A453/$Z$1)+2)</f>
        <v>79.17837905124243</v>
      </c>
      <c r="H453">
        <f t="shared" ca="1" si="59"/>
        <v>-7.0266790322382366E-2</v>
      </c>
      <c r="I453">
        <f t="shared" ca="1" si="60"/>
        <v>-0.2108003709671471</v>
      </c>
      <c r="J453" s="3">
        <f t="shared" ca="1" si="61"/>
        <v>81.216115970591517</v>
      </c>
      <c r="K453" s="3">
        <f t="shared" ca="1" si="62"/>
        <v>-2.0277859164536949E-3</v>
      </c>
      <c r="L453" s="3"/>
    </row>
    <row r="454" spans="1:12" x14ac:dyDescent="0.3">
      <c r="A454">
        <v>452</v>
      </c>
      <c r="B454" s="2">
        <f t="shared" si="56"/>
        <v>7915.9369527145363</v>
      </c>
      <c r="C454" s="2">
        <f t="shared" si="57"/>
        <v>3.3283208211528172E-3</v>
      </c>
      <c r="D454" s="2">
        <f t="shared" si="58"/>
        <v>27.301805500418709</v>
      </c>
      <c r="E454" s="3">
        <f t="shared" si="63"/>
        <v>81.143249900753673</v>
      </c>
      <c r="F454" cm="1">
        <f t="array" aca="1" ref="F454" ca="1">INDEX($O$2:$O$34,INT(A454/$Z$1)+1)</f>
        <v>81.426916341558666</v>
      </c>
      <c r="G454" cm="1">
        <f t="array" aca="1" ref="G454" ca="1">INDEX($O$2:$O$34,INT(A454/$Z$1)+2)</f>
        <v>79.17837905124243</v>
      </c>
      <c r="H454">
        <f t="shared" ca="1" si="59"/>
        <v>-7.0266790322382366E-2</v>
      </c>
      <c r="I454">
        <f t="shared" ca="1" si="60"/>
        <v>-0.28106716128952947</v>
      </c>
      <c r="J454" s="3">
        <f t="shared" ca="1" si="61"/>
        <v>81.145849180269138</v>
      </c>
      <c r="K454" s="3">
        <f t="shared" ca="1" si="62"/>
        <v>-2.5992795154650139E-3</v>
      </c>
      <c r="L454" s="3"/>
    </row>
    <row r="455" spans="1:12" x14ac:dyDescent="0.3">
      <c r="A455">
        <v>453</v>
      </c>
      <c r="B455" s="2">
        <f t="shared" si="56"/>
        <v>7947.3684210526317</v>
      </c>
      <c r="C455" s="2">
        <f t="shared" si="57"/>
        <v>3.3287565223616292E-3</v>
      </c>
      <c r="D455" s="2">
        <f t="shared" si="58"/>
        <v>27.262479339443303</v>
      </c>
      <c r="E455" s="3">
        <f t="shared" si="63"/>
        <v>81.072462810997948</v>
      </c>
      <c r="F455" cm="1">
        <f t="array" aca="1" ref="F455" ca="1">INDEX($O$2:$O$34,INT(A455/$Z$1)+1)</f>
        <v>81.426916341558666</v>
      </c>
      <c r="G455" cm="1">
        <f t="array" aca="1" ref="G455" ca="1">INDEX($O$2:$O$34,INT(A455/$Z$1)+2)</f>
        <v>79.17837905124243</v>
      </c>
      <c r="H455">
        <f t="shared" ca="1" si="59"/>
        <v>-7.0266790322382366E-2</v>
      </c>
      <c r="I455">
        <f t="shared" ca="1" si="60"/>
        <v>-0.35133395161191183</v>
      </c>
      <c r="J455" s="3">
        <f t="shared" ca="1" si="61"/>
        <v>81.07558238994676</v>
      </c>
      <c r="K455" s="3">
        <f t="shared" ca="1" si="62"/>
        <v>-3.1195789488123182E-3</v>
      </c>
      <c r="L455" s="3"/>
    </row>
    <row r="456" spans="1:12" x14ac:dyDescent="0.3">
      <c r="A456">
        <v>454</v>
      </c>
      <c r="B456" s="2">
        <f t="shared" si="56"/>
        <v>7978.9103690685415</v>
      </c>
      <c r="C456" s="2">
        <f t="shared" si="57"/>
        <v>3.3291920261899056E-3</v>
      </c>
      <c r="D456" s="2">
        <f t="shared" si="58"/>
        <v>27.223181280399217</v>
      </c>
      <c r="E456" s="3">
        <f t="shared" si="63"/>
        <v>81.001726304718588</v>
      </c>
      <c r="F456" cm="1">
        <f t="array" aca="1" ref="F456" ca="1">INDEX($O$2:$O$34,INT(A456/$Z$1)+1)</f>
        <v>81.426916341558666</v>
      </c>
      <c r="G456" cm="1">
        <f t="array" aca="1" ref="G456" ca="1">INDEX($O$2:$O$34,INT(A456/$Z$1)+2)</f>
        <v>79.17837905124243</v>
      </c>
      <c r="H456">
        <f t="shared" ca="1" si="59"/>
        <v>-7.0266790322382366E-2</v>
      </c>
      <c r="I456">
        <f t="shared" ca="1" si="60"/>
        <v>-0.4216007419342942</v>
      </c>
      <c r="J456" s="3">
        <f t="shared" ca="1" si="61"/>
        <v>81.005315599624367</v>
      </c>
      <c r="K456" s="3">
        <f t="shared" ca="1" si="62"/>
        <v>-3.5892949057796386E-3</v>
      </c>
      <c r="L456" s="3"/>
    </row>
    <row r="457" spans="1:12" x14ac:dyDescent="0.3">
      <c r="A457">
        <v>455</v>
      </c>
      <c r="B457" s="2">
        <f t="shared" si="56"/>
        <v>8010.5633802816901</v>
      </c>
      <c r="C457" s="2">
        <f t="shared" si="57"/>
        <v>3.3296273361858703E-3</v>
      </c>
      <c r="D457" s="2">
        <f t="shared" si="58"/>
        <v>27.183910985219313</v>
      </c>
      <c r="E457" s="3">
        <f t="shared" si="63"/>
        <v>80.931039773394758</v>
      </c>
      <c r="F457" cm="1">
        <f t="array" aca="1" ref="F457" ca="1">INDEX($O$2:$O$34,INT(A457/$Z$1)+1)</f>
        <v>81.426916341558666</v>
      </c>
      <c r="G457" cm="1">
        <f t="array" aca="1" ref="G457" ca="1">INDEX($O$2:$O$34,INT(A457/$Z$1)+2)</f>
        <v>79.17837905124243</v>
      </c>
      <c r="H457">
        <f t="shared" ca="1" si="59"/>
        <v>-7.0266790322382366E-2</v>
      </c>
      <c r="I457">
        <f t="shared" ca="1" si="60"/>
        <v>-0.49186753225667657</v>
      </c>
      <c r="J457" s="3">
        <f t="shared" ca="1" si="61"/>
        <v>80.935048809301989</v>
      </c>
      <c r="K457" s="3">
        <f t="shared" ca="1" si="62"/>
        <v>-4.0090359072308956E-3</v>
      </c>
      <c r="L457" s="3"/>
    </row>
    <row r="458" spans="1:12" x14ac:dyDescent="0.3">
      <c r="A458">
        <v>456</v>
      </c>
      <c r="B458" s="2">
        <f t="shared" si="56"/>
        <v>8042.3280423280421</v>
      </c>
      <c r="C458" s="2">
        <f t="shared" si="57"/>
        <v>3.3300624558885122E-3</v>
      </c>
      <c r="D458" s="2">
        <f t="shared" si="58"/>
        <v>27.14466811702323</v>
      </c>
      <c r="E458" s="3">
        <f t="shared" si="63"/>
        <v>80.860402610641813</v>
      </c>
      <c r="F458" cm="1">
        <f t="array" aca="1" ref="F458" ca="1">INDEX($O$2:$O$34,INT(A458/$Z$1)+1)</f>
        <v>81.426916341558666</v>
      </c>
      <c r="G458" cm="1">
        <f t="array" aca="1" ref="G458" ca="1">INDEX($O$2:$O$34,INT(A458/$Z$1)+2)</f>
        <v>79.17837905124243</v>
      </c>
      <c r="H458">
        <f t="shared" ca="1" si="59"/>
        <v>-7.0266790322382366E-2</v>
      </c>
      <c r="I458">
        <f t="shared" ca="1" si="60"/>
        <v>-0.56213432257905893</v>
      </c>
      <c r="J458" s="3">
        <f t="shared" ca="1" si="61"/>
        <v>80.864782018979611</v>
      </c>
      <c r="K458" s="3">
        <f t="shared" ca="1" si="62"/>
        <v>-4.3794083377974857E-3</v>
      </c>
      <c r="L458" s="3"/>
    </row>
    <row r="459" spans="1:12" x14ac:dyDescent="0.3">
      <c r="A459">
        <v>457</v>
      </c>
      <c r="B459" s="2">
        <f t="shared" si="56"/>
        <v>8074.2049469964668</v>
      </c>
      <c r="C459" s="2">
        <f t="shared" si="57"/>
        <v>3.3304973888277655E-3</v>
      </c>
      <c r="D459" s="2">
        <f t="shared" si="58"/>
        <v>27.105452340099248</v>
      </c>
      <c r="E459" s="3">
        <f t="shared" si="63"/>
        <v>80.789814212178641</v>
      </c>
      <c r="F459" cm="1">
        <f t="array" aca="1" ref="F459" ca="1">INDEX($O$2:$O$34,INT(A459/$Z$1)+1)</f>
        <v>81.426916341558666</v>
      </c>
      <c r="G459" cm="1">
        <f t="array" aca="1" ref="G459" ca="1">INDEX($O$2:$O$34,INT(A459/$Z$1)+2)</f>
        <v>79.17837905124243</v>
      </c>
      <c r="H459">
        <f t="shared" ca="1" si="59"/>
        <v>-7.0266790322382366E-2</v>
      </c>
      <c r="I459">
        <f t="shared" ca="1" si="60"/>
        <v>-0.6324011129014413</v>
      </c>
      <c r="J459" s="3">
        <f t="shared" ca="1" si="61"/>
        <v>80.794515228657218</v>
      </c>
      <c r="K459" s="3">
        <f t="shared" ca="1" si="62"/>
        <v>-4.7010164785774577E-3</v>
      </c>
      <c r="L459" s="3"/>
    </row>
    <row r="460" spans="1:12" x14ac:dyDescent="0.3">
      <c r="A460">
        <v>458</v>
      </c>
      <c r="B460" s="2">
        <f t="shared" si="56"/>
        <v>8106.1946902654863</v>
      </c>
      <c r="C460" s="2">
        <f t="shared" si="57"/>
        <v>3.33093213852469E-3</v>
      </c>
      <c r="D460" s="2">
        <f t="shared" si="58"/>
        <v>27.066263319886218</v>
      </c>
      <c r="E460" s="3">
        <f t="shared" si="63"/>
        <v>80.71927397579519</v>
      </c>
      <c r="F460" cm="1">
        <f t="array" aca="1" ref="F460" ca="1">INDEX($O$2:$O$34,INT(A460/$Z$1)+1)</f>
        <v>81.426916341558666</v>
      </c>
      <c r="G460" cm="1">
        <f t="array" aca="1" ref="G460" ca="1">INDEX($O$2:$O$34,INT(A460/$Z$1)+2)</f>
        <v>79.17837905124243</v>
      </c>
      <c r="H460">
        <f t="shared" ca="1" si="59"/>
        <v>-7.0266790322382366E-2</v>
      </c>
      <c r="I460">
        <f t="shared" ca="1" si="60"/>
        <v>-0.70266790322382366</v>
      </c>
      <c r="J460" s="3">
        <f t="shared" ca="1" si="61"/>
        <v>80.72424843833484</v>
      </c>
      <c r="K460" s="3">
        <f t="shared" ca="1" si="62"/>
        <v>-4.9744625396499487E-3</v>
      </c>
      <c r="L460" s="3"/>
    </row>
    <row r="461" spans="1:12" x14ac:dyDescent="0.3">
      <c r="A461">
        <v>459</v>
      </c>
      <c r="B461" s="2">
        <f t="shared" si="56"/>
        <v>8138.2978723404258</v>
      </c>
      <c r="C461" s="2">
        <f t="shared" si="57"/>
        <v>3.3313667084916491E-3</v>
      </c>
      <c r="D461" s="2">
        <f t="shared" si="58"/>
        <v>27.027100722955993</v>
      </c>
      <c r="E461" s="3">
        <f t="shared" si="63"/>
        <v>80.648781301320781</v>
      </c>
      <c r="F461" cm="1">
        <f t="array" aca="1" ref="F461" ca="1">INDEX($O$2:$O$34,INT(A461/$Z$1)+1)</f>
        <v>81.426916341558666</v>
      </c>
      <c r="G461" cm="1">
        <f t="array" aca="1" ref="G461" ca="1">INDEX($O$2:$O$34,INT(A461/$Z$1)+2)</f>
        <v>79.17837905124243</v>
      </c>
      <c r="H461">
        <f t="shared" ca="1" si="59"/>
        <v>-7.0266790322382366E-2</v>
      </c>
      <c r="I461">
        <f t="shared" ca="1" si="60"/>
        <v>-0.77293469354620603</v>
      </c>
      <c r="J461" s="3">
        <f t="shared" ca="1" si="61"/>
        <v>80.653981648012461</v>
      </c>
      <c r="K461" s="3">
        <f t="shared" ca="1" si="62"/>
        <v>-5.2003466916801244E-3</v>
      </c>
      <c r="L461" s="3"/>
    </row>
    <row r="462" spans="1:12" x14ac:dyDescent="0.3">
      <c r="A462">
        <v>460</v>
      </c>
      <c r="B462" s="2">
        <f t="shared" si="56"/>
        <v>8170.5150976909417</v>
      </c>
      <c r="C462" s="2">
        <f t="shared" si="57"/>
        <v>3.3318011022324869E-3</v>
      </c>
      <c r="D462" s="2">
        <f t="shared" si="58"/>
        <v>26.987964216995408</v>
      </c>
      <c r="E462" s="3">
        <f t="shared" si="63"/>
        <v>80.578335590591735</v>
      </c>
      <c r="F462" cm="1">
        <f t="array" aca="1" ref="F462" ca="1">INDEX($O$2:$O$34,INT(A462/$Z$1)+1)</f>
        <v>81.426916341558666</v>
      </c>
      <c r="G462" cm="1">
        <f t="array" aca="1" ref="G462" ca="1">INDEX($O$2:$O$34,INT(A462/$Z$1)+2)</f>
        <v>79.17837905124243</v>
      </c>
      <c r="H462">
        <f t="shared" ca="1" si="59"/>
        <v>-7.0266790322382366E-2</v>
      </c>
      <c r="I462">
        <f t="shared" ca="1" si="60"/>
        <v>-0.8432014838685884</v>
      </c>
      <c r="J462" s="3">
        <f t="shared" ca="1" si="61"/>
        <v>80.583714857690083</v>
      </c>
      <c r="K462" s="3">
        <f t="shared" ca="1" si="62"/>
        <v>-5.3792670983483504E-3</v>
      </c>
      <c r="L462" s="3"/>
    </row>
    <row r="463" spans="1:12" x14ac:dyDescent="0.3">
      <c r="A463">
        <v>461</v>
      </c>
      <c r="B463" s="2">
        <f t="shared" si="56"/>
        <v>8202.8469750889672</v>
      </c>
      <c r="C463" s="2">
        <f t="shared" si="57"/>
        <v>3.3322353232427041E-3</v>
      </c>
      <c r="D463" s="2">
        <f t="shared" si="58"/>
        <v>26.948853470789174</v>
      </c>
      <c r="E463" s="3">
        <f t="shared" si="63"/>
        <v>80.507936247420517</v>
      </c>
      <c r="F463" cm="1">
        <f t="array" aca="1" ref="F463" ca="1">INDEX($O$2:$O$34,INT(A463/$Z$1)+1)</f>
        <v>81.426916341558666</v>
      </c>
      <c r="G463" cm="1">
        <f t="array" aca="1" ref="G463" ca="1">INDEX($O$2:$O$34,INT(A463/$Z$1)+2)</f>
        <v>79.17837905124243</v>
      </c>
      <c r="H463">
        <f t="shared" ca="1" si="59"/>
        <v>-7.0266790322382366E-2</v>
      </c>
      <c r="I463">
        <f t="shared" ca="1" si="60"/>
        <v>-0.91346827419097076</v>
      </c>
      <c r="J463" s="3">
        <f t="shared" ca="1" si="61"/>
        <v>80.51344806736769</v>
      </c>
      <c r="K463" s="3">
        <f t="shared" ca="1" si="62"/>
        <v>-5.5118199471735352E-3</v>
      </c>
      <c r="L463" s="3"/>
    </row>
    <row r="464" spans="1:12" x14ac:dyDescent="0.3">
      <c r="A464">
        <v>462</v>
      </c>
      <c r="B464" s="2">
        <f t="shared" si="56"/>
        <v>8235.2941176470595</v>
      </c>
      <c r="C464" s="2">
        <f t="shared" si="57"/>
        <v>3.3326693750096352E-3</v>
      </c>
      <c r="D464" s="2">
        <f t="shared" si="58"/>
        <v>26.909768154201913</v>
      </c>
      <c r="E464" s="3">
        <f t="shared" si="63"/>
        <v>80.437582677563441</v>
      </c>
      <c r="F464" cm="1">
        <f t="array" aca="1" ref="F464" ca="1">INDEX($O$2:$O$34,INT(A464/$Z$1)+1)</f>
        <v>81.426916341558666</v>
      </c>
      <c r="G464" cm="1">
        <f t="array" aca="1" ref="G464" ca="1">INDEX($O$2:$O$34,INT(A464/$Z$1)+2)</f>
        <v>79.17837905124243</v>
      </c>
      <c r="H464">
        <f t="shared" ca="1" si="59"/>
        <v>-7.0266790322382366E-2</v>
      </c>
      <c r="I464">
        <f t="shared" ca="1" si="60"/>
        <v>-0.98373506451335313</v>
      </c>
      <c r="J464" s="3">
        <f t="shared" ca="1" si="61"/>
        <v>80.443181277045312</v>
      </c>
      <c r="K464" s="3">
        <f t="shared" ca="1" si="62"/>
        <v>-5.598599481871247E-3</v>
      </c>
      <c r="L464" s="3"/>
    </row>
    <row r="465" spans="1:12" x14ac:dyDescent="0.3">
      <c r="A465">
        <v>463</v>
      </c>
      <c r="B465" s="2">
        <f t="shared" si="56"/>
        <v>8267.8571428571431</v>
      </c>
      <c r="C465" s="2">
        <f t="shared" si="57"/>
        <v>3.3331032610126195E-3</v>
      </c>
      <c r="D465" s="2">
        <f t="shared" si="58"/>
        <v>26.870707938161274</v>
      </c>
      <c r="E465" s="3">
        <f t="shared" si="63"/>
        <v>80.367274288690297</v>
      </c>
      <c r="F465" cm="1">
        <f t="array" aca="1" ref="F465" ca="1">INDEX($O$2:$O$34,INT(A465/$Z$1)+1)</f>
        <v>81.426916341558666</v>
      </c>
      <c r="G465" cm="1">
        <f t="array" aca="1" ref="G465" ca="1">INDEX($O$2:$O$34,INT(A465/$Z$1)+2)</f>
        <v>79.17837905124243</v>
      </c>
      <c r="H465">
        <f t="shared" ca="1" si="59"/>
        <v>-7.0266790322382366E-2</v>
      </c>
      <c r="I465">
        <f t="shared" ca="1" si="60"/>
        <v>-1.0540018548357355</v>
      </c>
      <c r="J465" s="3">
        <f t="shared" ca="1" si="61"/>
        <v>80.372914486722934</v>
      </c>
      <c r="K465" s="3">
        <f t="shared" ca="1" si="62"/>
        <v>-5.6401980326370449E-3</v>
      </c>
      <c r="L465" s="3"/>
    </row>
    <row r="466" spans="1:12" x14ac:dyDescent="0.3">
      <c r="A466">
        <v>464</v>
      </c>
      <c r="B466" s="2">
        <f t="shared" si="56"/>
        <v>8300.5366726296961</v>
      </c>
      <c r="C466" s="2">
        <f t="shared" si="57"/>
        <v>3.3335369847231778E-3</v>
      </c>
      <c r="D466" s="2">
        <f t="shared" si="58"/>
        <v>26.8316724946406</v>
      </c>
      <c r="E466" s="3">
        <f t="shared" si="63"/>
        <v>80.297010490353074</v>
      </c>
      <c r="F466" cm="1">
        <f t="array" aca="1" ref="F466" ca="1">INDEX($O$2:$O$34,INT(A466/$Z$1)+1)</f>
        <v>81.426916341558666</v>
      </c>
      <c r="G466" cm="1">
        <f t="array" aca="1" ref="G466" ca="1">INDEX($O$2:$O$34,INT(A466/$Z$1)+2)</f>
        <v>79.17837905124243</v>
      </c>
      <c r="H466">
        <f t="shared" ca="1" si="59"/>
        <v>-7.0266790322382366E-2</v>
      </c>
      <c r="I466">
        <f t="shared" ca="1" si="60"/>
        <v>-1.1242686451581179</v>
      </c>
      <c r="J466" s="3">
        <f t="shared" ca="1" si="61"/>
        <v>80.302647696400555</v>
      </c>
      <c r="K466" s="3">
        <f t="shared" ca="1" si="62"/>
        <v>-5.6372060474814134E-3</v>
      </c>
      <c r="L466" s="3"/>
    </row>
    <row r="467" spans="1:12" x14ac:dyDescent="0.3">
      <c r="A467">
        <v>465</v>
      </c>
      <c r="B467" s="2">
        <f t="shared" si="56"/>
        <v>8333.3333333333339</v>
      </c>
      <c r="C467" s="2">
        <f t="shared" si="57"/>
        <v>3.3339705496051824E-3</v>
      </c>
      <c r="D467" s="2">
        <f t="shared" si="58"/>
        <v>26.792661496641813</v>
      </c>
      <c r="E467" s="3">
        <f t="shared" si="63"/>
        <v>80.226790693955266</v>
      </c>
      <c r="F467" cm="1">
        <f t="array" aca="1" ref="F467" ca="1">INDEX($O$2:$O$34,INT(A467/$Z$1)+1)</f>
        <v>81.426916341558666</v>
      </c>
      <c r="G467" cm="1">
        <f t="array" aca="1" ref="G467" ca="1">INDEX($O$2:$O$34,INT(A467/$Z$1)+2)</f>
        <v>79.17837905124243</v>
      </c>
      <c r="H467">
        <f t="shared" ca="1" si="59"/>
        <v>-7.0266790322382366E-2</v>
      </c>
      <c r="I467">
        <f t="shared" ca="1" si="60"/>
        <v>-1.1945354354805002</v>
      </c>
      <c r="J467" s="3">
        <f t="shared" ca="1" si="61"/>
        <v>80.232380906078163</v>
      </c>
      <c r="K467" s="3">
        <f t="shared" ca="1" si="62"/>
        <v>-5.5902121228967872E-3</v>
      </c>
      <c r="L467" s="3"/>
    </row>
    <row r="468" spans="1:12" x14ac:dyDescent="0.3">
      <c r="A468">
        <v>466</v>
      </c>
      <c r="B468" s="2">
        <f t="shared" si="56"/>
        <v>8366.2477558348291</v>
      </c>
      <c r="C468" s="2">
        <f t="shared" si="57"/>
        <v>3.3344039591150293E-3</v>
      </c>
      <c r="D468" s="2">
        <f t="shared" si="58"/>
        <v>26.753674618178536</v>
      </c>
      <c r="E468" s="3">
        <f t="shared" si="63"/>
        <v>80.156614312721359</v>
      </c>
      <c r="F468" cm="1">
        <f t="array" aca="1" ref="F468" ca="1">INDEX($O$2:$O$34,INT(A468/$Z$1)+1)</f>
        <v>81.426916341558666</v>
      </c>
      <c r="G468" cm="1">
        <f t="array" aca="1" ref="G468" ca="1">INDEX($O$2:$O$34,INT(A468/$Z$1)+2)</f>
        <v>79.17837905124243</v>
      </c>
      <c r="H468">
        <f t="shared" ca="1" si="59"/>
        <v>-7.0266790322382366E-2</v>
      </c>
      <c r="I468">
        <f t="shared" ca="1" si="60"/>
        <v>-1.2648022258028826</v>
      </c>
      <c r="J468" s="3">
        <f t="shared" ca="1" si="61"/>
        <v>80.162114115755784</v>
      </c>
      <c r="K468" s="3">
        <f t="shared" ca="1" si="62"/>
        <v>-5.4998030344250992E-3</v>
      </c>
      <c r="L468" s="3"/>
    </row>
    <row r="469" spans="1:12" x14ac:dyDescent="0.3">
      <c r="A469">
        <v>467</v>
      </c>
      <c r="B469" s="2">
        <f t="shared" si="56"/>
        <v>8399.2805755395675</v>
      </c>
      <c r="C469" s="2">
        <f t="shared" si="57"/>
        <v>3.3348372167018099E-3</v>
      </c>
      <c r="D469" s="2">
        <f t="shared" si="58"/>
        <v>26.714711534259209</v>
      </c>
      <c r="E469" s="3">
        <f t="shared" si="63"/>
        <v>80.086480761666579</v>
      </c>
      <c r="F469" cm="1">
        <f t="array" aca="1" ref="F469" ca="1">INDEX($O$2:$O$34,INT(A469/$Z$1)+1)</f>
        <v>81.426916341558666</v>
      </c>
      <c r="G469" cm="1">
        <f t="array" aca="1" ref="G469" ca="1">INDEX($O$2:$O$34,INT(A469/$Z$1)+2)</f>
        <v>79.17837905124243</v>
      </c>
      <c r="H469">
        <f t="shared" ca="1" si="59"/>
        <v>-7.0266790322382366E-2</v>
      </c>
      <c r="I469">
        <f t="shared" ca="1" si="60"/>
        <v>-1.335069016125265</v>
      </c>
      <c r="J469" s="3">
        <f t="shared" ca="1" si="61"/>
        <v>80.091847325433406</v>
      </c>
      <c r="K469" s="3">
        <f t="shared" ca="1" si="62"/>
        <v>-5.3665637668274258E-3</v>
      </c>
      <c r="L469" s="3"/>
    </row>
    <row r="470" spans="1:12" x14ac:dyDescent="0.3">
      <c r="A470">
        <v>468</v>
      </c>
      <c r="B470" s="2">
        <f t="shared" si="56"/>
        <v>8432.4324324324316</v>
      </c>
      <c r="C470" s="2">
        <f t="shared" si="57"/>
        <v>3.3352703258074791E-3</v>
      </c>
      <c r="D470" s="2">
        <f t="shared" si="58"/>
        <v>26.675771920870318</v>
      </c>
      <c r="E470" s="3">
        <f t="shared" si="63"/>
        <v>80.016389457566575</v>
      </c>
      <c r="F470" cm="1">
        <f t="array" aca="1" ref="F470" ca="1">INDEX($O$2:$O$34,INT(A470/$Z$1)+1)</f>
        <v>81.426916341558666</v>
      </c>
      <c r="G470" cm="1">
        <f t="array" aca="1" ref="G470" ca="1">INDEX($O$2:$O$34,INT(A470/$Z$1)+2)</f>
        <v>79.17837905124243</v>
      </c>
      <c r="H470">
        <f t="shared" ca="1" si="59"/>
        <v>-7.0266790322382366E-2</v>
      </c>
      <c r="I470">
        <f t="shared" ca="1" si="60"/>
        <v>-1.4053358064476473</v>
      </c>
      <c r="J470" s="3">
        <f t="shared" ca="1" si="61"/>
        <v>80.021580535111013</v>
      </c>
      <c r="K470" s="3">
        <f t="shared" ca="1" si="62"/>
        <v>-5.1910775444383717E-3</v>
      </c>
      <c r="L470" s="3"/>
    </row>
    <row r="471" spans="1:12" x14ac:dyDescent="0.3">
      <c r="A471">
        <v>469</v>
      </c>
      <c r="B471" s="2">
        <f t="shared" si="56"/>
        <v>8465.7039711191337</v>
      </c>
      <c r="C471" s="2">
        <f t="shared" si="57"/>
        <v>3.3357032898670247E-3</v>
      </c>
      <c r="D471" s="2">
        <f t="shared" si="58"/>
        <v>26.636855454959971</v>
      </c>
      <c r="E471" s="3">
        <f t="shared" si="63"/>
        <v>79.946339818927953</v>
      </c>
      <c r="F471" cm="1">
        <f t="array" aca="1" ref="F471" ca="1">INDEX($O$2:$O$34,INT(A471/$Z$1)+1)</f>
        <v>81.426916341558666</v>
      </c>
      <c r="G471" cm="1">
        <f t="array" aca="1" ref="G471" ca="1">INDEX($O$2:$O$34,INT(A471/$Z$1)+2)</f>
        <v>79.17837905124243</v>
      </c>
      <c r="H471">
        <f t="shared" ca="1" si="59"/>
        <v>-7.0266790322382366E-2</v>
      </c>
      <c r="I471">
        <f t="shared" ca="1" si="60"/>
        <v>-1.4756025967700297</v>
      </c>
      <c r="J471" s="3">
        <f t="shared" ca="1" si="61"/>
        <v>79.951313744788635</v>
      </c>
      <c r="K471" s="3">
        <f t="shared" ca="1" si="62"/>
        <v>-4.9739258606820158E-3</v>
      </c>
      <c r="L471" s="3"/>
    </row>
    <row r="472" spans="1:12" x14ac:dyDescent="0.3">
      <c r="A472">
        <v>470</v>
      </c>
      <c r="B472" s="2">
        <f t="shared" si="56"/>
        <v>8499.0958408679926</v>
      </c>
      <c r="C472" s="2">
        <f t="shared" si="57"/>
        <v>3.3361361123086363E-3</v>
      </c>
      <c r="D472" s="2">
        <f t="shared" si="58"/>
        <v>26.597961814421012</v>
      </c>
      <c r="E472" s="3">
        <f t="shared" si="63"/>
        <v>79.876331265957816</v>
      </c>
      <c r="F472" cm="1">
        <f t="array" aca="1" ref="F472" ca="1">INDEX($O$2:$O$34,INT(A472/$Z$1)+1)</f>
        <v>81.426916341558666</v>
      </c>
      <c r="G472" cm="1">
        <f t="array" aca="1" ref="G472" ca="1">INDEX($O$2:$O$34,INT(A472/$Z$1)+2)</f>
        <v>79.17837905124243</v>
      </c>
      <c r="H472">
        <f t="shared" ca="1" si="59"/>
        <v>-7.0266790322382366E-2</v>
      </c>
      <c r="I472">
        <f t="shared" ca="1" si="60"/>
        <v>-1.5458693870924121</v>
      </c>
      <c r="J472" s="3">
        <f t="shared" ca="1" si="61"/>
        <v>79.881046954466257</v>
      </c>
      <c r="K472" s="3">
        <f t="shared" ca="1" si="62"/>
        <v>-4.7156885084405076E-3</v>
      </c>
      <c r="L472" s="3"/>
    </row>
    <row r="473" spans="1:12" x14ac:dyDescent="0.3">
      <c r="A473">
        <v>471</v>
      </c>
      <c r="B473" s="2">
        <f t="shared" si="56"/>
        <v>8532.608695652174</v>
      </c>
      <c r="C473" s="2">
        <f t="shared" si="57"/>
        <v>3.3365687965538713E-3</v>
      </c>
      <c r="D473" s="2">
        <f t="shared" si="58"/>
        <v>26.559090678075108</v>
      </c>
      <c r="E473" s="3">
        <f t="shared" si="63"/>
        <v>79.806363220535189</v>
      </c>
      <c r="F473" cm="1">
        <f t="array" aca="1" ref="F473" ca="1">INDEX($O$2:$O$34,INT(A473/$Z$1)+1)</f>
        <v>81.426916341558666</v>
      </c>
      <c r="G473" cm="1">
        <f t="array" aca="1" ref="G473" ca="1">INDEX($O$2:$O$34,INT(A473/$Z$1)+2)</f>
        <v>79.17837905124243</v>
      </c>
      <c r="H473">
        <f t="shared" ca="1" si="59"/>
        <v>-7.0266790322382366E-2</v>
      </c>
      <c r="I473">
        <f t="shared" ca="1" si="60"/>
        <v>-1.6161361774147944</v>
      </c>
      <c r="J473" s="3">
        <f t="shared" ca="1" si="61"/>
        <v>79.810780164143878</v>
      </c>
      <c r="K473" s="3">
        <f t="shared" ca="1" si="62"/>
        <v>-4.4169436086889391E-3</v>
      </c>
      <c r="L473" s="3"/>
    </row>
    <row r="474" spans="1:12" x14ac:dyDescent="0.3">
      <c r="A474">
        <v>472</v>
      </c>
      <c r="B474" s="2">
        <f t="shared" si="56"/>
        <v>8566.2431941923769</v>
      </c>
      <c r="C474" s="2">
        <f t="shared" si="57"/>
        <v>3.3370013460178221E-3</v>
      </c>
      <c r="D474" s="2">
        <f t="shared" si="58"/>
        <v>26.520241725655978</v>
      </c>
      <c r="E474" s="3">
        <f t="shared" si="63"/>
        <v>79.736435106180764</v>
      </c>
      <c r="F474" cm="1">
        <f t="array" aca="1" ref="F474" ca="1">INDEX($O$2:$O$34,INT(A474/$Z$1)+1)</f>
        <v>81.426916341558666</v>
      </c>
      <c r="G474" cm="1">
        <f t="array" aca="1" ref="G474" ca="1">INDEX($O$2:$O$34,INT(A474/$Z$1)+2)</f>
        <v>79.17837905124243</v>
      </c>
      <c r="H474">
        <f t="shared" ca="1" si="59"/>
        <v>-7.0266790322382366E-2</v>
      </c>
      <c r="I474">
        <f t="shared" ca="1" si="60"/>
        <v>-1.6864029677371768</v>
      </c>
      <c r="J474" s="3">
        <f t="shared" ca="1" si="61"/>
        <v>79.740513373821486</v>
      </c>
      <c r="K474" s="3">
        <f t="shared" ca="1" si="62"/>
        <v>-4.0782676407218332E-3</v>
      </c>
      <c r="L474" s="3"/>
    </row>
    <row r="475" spans="1:12" x14ac:dyDescent="0.3">
      <c r="A475">
        <v>473</v>
      </c>
      <c r="B475" s="2">
        <f t="shared" si="56"/>
        <v>8600</v>
      </c>
      <c r="C475" s="2">
        <f t="shared" si="57"/>
        <v>3.3374337641092818E-3</v>
      </c>
      <c r="D475" s="2">
        <f t="shared" si="58"/>
        <v>26.481414637793478</v>
      </c>
      <c r="E475" s="3">
        <f t="shared" si="63"/>
        <v>79.666546348028263</v>
      </c>
      <c r="F475" cm="1">
        <f t="array" aca="1" ref="F475" ca="1">INDEX($O$2:$O$34,INT(A475/$Z$1)+1)</f>
        <v>81.426916341558666</v>
      </c>
      <c r="G475" cm="1">
        <f t="array" aca="1" ref="G475" ca="1">INDEX($O$2:$O$34,INT(A475/$Z$1)+2)</f>
        <v>79.17837905124243</v>
      </c>
      <c r="H475">
        <f t="shared" ca="1" si="59"/>
        <v>-7.0266790322382366E-2</v>
      </c>
      <c r="I475">
        <f t="shared" ca="1" si="60"/>
        <v>-1.7566697580595592</v>
      </c>
      <c r="J475" s="3">
        <f t="shared" ca="1" si="61"/>
        <v>79.670246583499107</v>
      </c>
      <c r="K475" s="3">
        <f t="shared" ca="1" si="62"/>
        <v>-3.7002354708448593E-3</v>
      </c>
      <c r="L475" s="3"/>
    </row>
    <row r="476" spans="1:12" x14ac:dyDescent="0.3">
      <c r="A476">
        <v>474</v>
      </c>
      <c r="B476" s="2">
        <f t="shared" si="56"/>
        <v>8633.8797814207646</v>
      </c>
      <c r="C476" s="2">
        <f t="shared" si="57"/>
        <v>3.3378660542309085E-3</v>
      </c>
      <c r="D476" s="2">
        <f t="shared" si="58"/>
        <v>26.442609095997454</v>
      </c>
      <c r="E476" s="3">
        <f t="shared" si="63"/>
        <v>79.596696372795421</v>
      </c>
      <c r="F476" cm="1">
        <f t="array" aca="1" ref="F476" ca="1">INDEX($O$2:$O$34,INT(A476/$Z$1)+1)</f>
        <v>81.426916341558666</v>
      </c>
      <c r="G476" cm="1">
        <f t="array" aca="1" ref="G476" ca="1">INDEX($O$2:$O$34,INT(A476/$Z$1)+2)</f>
        <v>79.17837905124243</v>
      </c>
      <c r="H476">
        <f t="shared" ca="1" si="59"/>
        <v>-7.0266790322382366E-2</v>
      </c>
      <c r="I476">
        <f t="shared" ca="1" si="60"/>
        <v>-1.8269365483819415</v>
      </c>
      <c r="J476" s="3">
        <f t="shared" ca="1" si="61"/>
        <v>79.599979793176729</v>
      </c>
      <c r="K476" s="3">
        <f t="shared" ca="1" si="62"/>
        <v>-3.2834203813081331E-3</v>
      </c>
      <c r="L476" s="3"/>
    </row>
    <row r="477" spans="1:12" x14ac:dyDescent="0.3">
      <c r="A477">
        <v>475</v>
      </c>
      <c r="B477" s="2">
        <f t="shared" si="56"/>
        <v>8667.8832116788326</v>
      </c>
      <c r="C477" s="2">
        <f t="shared" si="57"/>
        <v>3.3382982197793904E-3</v>
      </c>
      <c r="D477" s="2">
        <f t="shared" si="58"/>
        <v>26.403824782641664</v>
      </c>
      <c r="E477" s="3">
        <f t="shared" si="63"/>
        <v>79.526884608754997</v>
      </c>
      <c r="F477" cm="1">
        <f t="array" aca="1" ref="F477" ca="1">INDEX($O$2:$O$34,INT(A477/$Z$1)+1)</f>
        <v>81.426916341558666</v>
      </c>
      <c r="G477" cm="1">
        <f t="array" aca="1" ref="G477" ca="1">INDEX($O$2:$O$34,INT(A477/$Z$1)+2)</f>
        <v>79.17837905124243</v>
      </c>
      <c r="H477">
        <f t="shared" ca="1" si="59"/>
        <v>-7.0266790322382366E-2</v>
      </c>
      <c r="I477">
        <f t="shared" ca="1" si="60"/>
        <v>-1.8972033387043239</v>
      </c>
      <c r="J477" s="3">
        <f t="shared" ca="1" si="61"/>
        <v>79.529713002854336</v>
      </c>
      <c r="K477" s="3">
        <f t="shared" ca="1" si="62"/>
        <v>-2.8283940993389933E-3</v>
      </c>
      <c r="L477" s="3"/>
    </row>
    <row r="478" spans="1:12" x14ac:dyDescent="0.3">
      <c r="A478">
        <v>476</v>
      </c>
      <c r="B478" s="2">
        <f t="shared" si="56"/>
        <v>8702.0109689213896</v>
      </c>
      <c r="C478" s="2">
        <f t="shared" si="57"/>
        <v>3.3387302641456093E-3</v>
      </c>
      <c r="D478" s="2">
        <f t="shared" si="58"/>
        <v>26.365061380947736</v>
      </c>
      <c r="E478" s="3">
        <f t="shared" si="63"/>
        <v>79.457110485705925</v>
      </c>
      <c r="F478" cm="1">
        <f t="array" aca="1" ref="F478" ca="1">INDEX($O$2:$O$34,INT(A478/$Z$1)+1)</f>
        <v>81.426916341558666</v>
      </c>
      <c r="G478" cm="1">
        <f t="array" aca="1" ref="G478" ca="1">INDEX($O$2:$O$34,INT(A478/$Z$1)+2)</f>
        <v>79.17837905124243</v>
      </c>
      <c r="H478">
        <f t="shared" ca="1" si="59"/>
        <v>-7.0266790322382366E-2</v>
      </c>
      <c r="I478">
        <f t="shared" ca="1" si="60"/>
        <v>-1.9674701290267063</v>
      </c>
      <c r="J478" s="3">
        <f t="shared" ca="1" si="61"/>
        <v>79.459446212531958</v>
      </c>
      <c r="K478" s="3">
        <f t="shared" ca="1" si="62"/>
        <v>-2.3357268260326691E-3</v>
      </c>
      <c r="L478" s="3"/>
    </row>
    <row r="479" spans="1:12" x14ac:dyDescent="0.3">
      <c r="A479">
        <v>477</v>
      </c>
      <c r="B479" s="2">
        <f t="shared" si="56"/>
        <v>8736.2637362637361</v>
      </c>
      <c r="C479" s="2">
        <f t="shared" si="57"/>
        <v>3.339162190714803E-3</v>
      </c>
      <c r="D479" s="2">
        <f t="shared" si="58"/>
        <v>26.326318574969719</v>
      </c>
      <c r="E479" s="3">
        <f t="shared" si="63"/>
        <v>79.387373434945488</v>
      </c>
      <c r="F479" cm="1">
        <f t="array" aca="1" ref="F479" ca="1">INDEX($O$2:$O$34,INT(A479/$Z$1)+1)</f>
        <v>81.426916341558666</v>
      </c>
      <c r="G479" cm="1">
        <f t="array" aca="1" ref="G479" ca="1">INDEX($O$2:$O$34,INT(A479/$Z$1)+2)</f>
        <v>79.17837905124243</v>
      </c>
      <c r="H479">
        <f t="shared" ca="1" si="59"/>
        <v>-7.0266790322382366E-2</v>
      </c>
      <c r="I479">
        <f t="shared" ca="1" si="60"/>
        <v>-2.0377369193490886</v>
      </c>
      <c r="J479" s="3">
        <f t="shared" ca="1" si="61"/>
        <v>79.38917942220958</v>
      </c>
      <c r="K479" s="3">
        <f t="shared" ca="1" si="62"/>
        <v>-1.8059872640918684E-3</v>
      </c>
      <c r="L479" s="3"/>
    </row>
    <row r="480" spans="1:12" x14ac:dyDescent="0.3">
      <c r="A480">
        <v>478</v>
      </c>
      <c r="B480" s="2">
        <f t="shared" si="56"/>
        <v>8770.6422018348621</v>
      </c>
      <c r="C480" s="2">
        <f t="shared" si="57"/>
        <v>3.3395940028667268E-3</v>
      </c>
      <c r="D480" s="2">
        <f t="shared" si="58"/>
        <v>26.287596049577985</v>
      </c>
      <c r="E480" s="3">
        <f t="shared" si="63"/>
        <v>79.31767288924037</v>
      </c>
      <c r="F480" cm="1">
        <f t="array" aca="1" ref="F480" ca="1">INDEX($O$2:$O$34,INT(A480/$Z$1)+1)</f>
        <v>81.426916341558666</v>
      </c>
      <c r="G480" cm="1">
        <f t="array" aca="1" ref="G480" ca="1">INDEX($O$2:$O$34,INT(A480/$Z$1)+2)</f>
        <v>79.17837905124243</v>
      </c>
      <c r="H480">
        <f t="shared" ca="1" si="59"/>
        <v>-7.0266790322382366E-2</v>
      </c>
      <c r="I480">
        <f t="shared" ca="1" si="60"/>
        <v>-2.108003709671471</v>
      </c>
      <c r="J480" s="3">
        <f t="shared" ca="1" si="61"/>
        <v>79.318912631887201</v>
      </c>
      <c r="K480" s="3">
        <f t="shared" ca="1" si="62"/>
        <v>-1.2397426468311323E-3</v>
      </c>
      <c r="L480" s="3"/>
    </row>
    <row r="481" spans="1:12" x14ac:dyDescent="0.3">
      <c r="A481">
        <v>479</v>
      </c>
      <c r="B481" s="2">
        <f t="shared" si="56"/>
        <v>8805.1470588235297</v>
      </c>
      <c r="C481" s="2">
        <f t="shared" si="57"/>
        <v>3.3400257039758172E-3</v>
      </c>
      <c r="D481" s="2">
        <f t="shared" si="58"/>
        <v>26.24889349044372</v>
      </c>
      <c r="E481" s="3">
        <f t="shared" si="63"/>
        <v>79.248008282798693</v>
      </c>
      <c r="F481" cm="1">
        <f t="array" aca="1" ref="F481" ca="1">INDEX($O$2:$O$34,INT(A481/$Z$1)+1)</f>
        <v>81.426916341558666</v>
      </c>
      <c r="G481" cm="1">
        <f t="array" aca="1" ref="G481" ca="1">INDEX($O$2:$O$34,INT(A481/$Z$1)+2)</f>
        <v>79.17837905124243</v>
      </c>
      <c r="H481">
        <f t="shared" ca="1" si="59"/>
        <v>-7.0266790322382366E-2</v>
      </c>
      <c r="I481">
        <f t="shared" ca="1" si="60"/>
        <v>-2.1782704999938534</v>
      </c>
      <c r="J481" s="3">
        <f t="shared" ca="1" si="61"/>
        <v>79.248645841564809</v>
      </c>
      <c r="K481" s="3">
        <f t="shared" ca="1" si="62"/>
        <v>-6.3755876611537587E-4</v>
      </c>
      <c r="L481" s="3"/>
    </row>
    <row r="482" spans="1:12" x14ac:dyDescent="0.3">
      <c r="A482">
        <v>480</v>
      </c>
      <c r="B482" s="2">
        <f t="shared" si="56"/>
        <v>8839.7790055248624</v>
      </c>
      <c r="C482" s="2">
        <f t="shared" si="57"/>
        <v>3.3404572974113506E-3</v>
      </c>
      <c r="D482" s="2">
        <f t="shared" si="58"/>
        <v>26.210210584023571</v>
      </c>
      <c r="E482" s="3">
        <f t="shared" si="63"/>
        <v>79.17837905124243</v>
      </c>
      <c r="F482" cm="1">
        <f t="array" aca="1" ref="F482" ca="1">INDEX($O$2:$O$34,INT(A482/$Z$1)+1)</f>
        <v>79.17837905124243</v>
      </c>
      <c r="G482" cm="1">
        <f t="array" aca="1" ref="G482" ca="1">INDEX($O$2:$O$34,INT(A482/$Z$1)+2)</f>
        <v>76.965608112121529</v>
      </c>
      <c r="H482">
        <f t="shared" ca="1" si="59"/>
        <v>-6.9149091847528155E-2</v>
      </c>
      <c r="I482">
        <f t="shared" ca="1" si="60"/>
        <v>0</v>
      </c>
      <c r="J482" s="3">
        <f t="shared" ca="1" si="61"/>
        <v>79.17837905124243</v>
      </c>
      <c r="K482" s="3">
        <f t="shared" ca="1" si="62"/>
        <v>0</v>
      </c>
      <c r="L482" s="3"/>
    </row>
    <row r="483" spans="1:12" x14ac:dyDescent="0.3">
      <c r="A483">
        <v>481</v>
      </c>
      <c r="B483" s="2">
        <f t="shared" si="56"/>
        <v>8874.5387453874537</v>
      </c>
      <c r="C483" s="2">
        <f t="shared" si="57"/>
        <v>3.3408887865376048E-3</v>
      </c>
      <c r="D483" s="2">
        <f t="shared" si="58"/>
        <v>26.171547017543674</v>
      </c>
      <c r="E483" s="3">
        <f t="shared" si="63"/>
        <v>79.108784631578615</v>
      </c>
      <c r="F483" cm="1">
        <f t="array" aca="1" ref="F483" ca="1">INDEX($O$2:$O$34,INT(A483/$Z$1)+1)</f>
        <v>79.17837905124243</v>
      </c>
      <c r="G483" cm="1">
        <f t="array" aca="1" ref="G483" ca="1">INDEX($O$2:$O$34,INT(A483/$Z$1)+2)</f>
        <v>76.965608112121529</v>
      </c>
      <c r="H483">
        <f t="shared" ca="1" si="59"/>
        <v>-6.9149091847528155E-2</v>
      </c>
      <c r="I483">
        <f t="shared" ca="1" si="60"/>
        <v>-6.9149091847528155E-2</v>
      </c>
      <c r="J483" s="3">
        <f t="shared" ca="1" si="61"/>
        <v>79.109229959394895</v>
      </c>
      <c r="K483" s="3">
        <f t="shared" ca="1" si="62"/>
        <v>-4.453278162799279E-4</v>
      </c>
      <c r="L483" s="3"/>
    </row>
    <row r="484" spans="1:12" x14ac:dyDescent="0.3">
      <c r="A484">
        <v>482</v>
      </c>
      <c r="B484" s="2">
        <f t="shared" si="56"/>
        <v>8909.4269870609987</v>
      </c>
      <c r="C484" s="2">
        <f t="shared" si="57"/>
        <v>3.3413201747140189E-3</v>
      </c>
      <c r="D484" s="2">
        <f t="shared" si="58"/>
        <v>26.132902478984761</v>
      </c>
      <c r="E484" s="3">
        <f t="shared" si="63"/>
        <v>79.039224462172569</v>
      </c>
      <c r="F484" cm="1">
        <f t="array" aca="1" ref="F484" ca="1">INDEX($O$2:$O$34,INT(A484/$Z$1)+1)</f>
        <v>79.17837905124243</v>
      </c>
      <c r="G484" cm="1">
        <f t="array" aca="1" ref="G484" ca="1">INDEX($O$2:$O$34,INT(A484/$Z$1)+2)</f>
        <v>76.965608112121529</v>
      </c>
      <c r="H484">
        <f t="shared" ca="1" si="59"/>
        <v>-6.9149091847528155E-2</v>
      </c>
      <c r="I484">
        <f t="shared" ca="1" si="60"/>
        <v>-0.13829818369505631</v>
      </c>
      <c r="J484" s="3">
        <f t="shared" ca="1" si="61"/>
        <v>79.040080867547374</v>
      </c>
      <c r="K484" s="3">
        <f t="shared" ca="1" si="62"/>
        <v>-8.5640537480458079E-4</v>
      </c>
      <c r="L484" s="3"/>
    </row>
    <row r="485" spans="1:12" x14ac:dyDescent="0.3">
      <c r="A485">
        <v>483</v>
      </c>
      <c r="B485" s="2">
        <f t="shared" si="56"/>
        <v>8944.4444444444453</v>
      </c>
      <c r="C485" s="2">
        <f t="shared" si="57"/>
        <v>3.3417514652953513E-3</v>
      </c>
      <c r="D485" s="2">
        <f t="shared" si="58"/>
        <v>26.0942766570667</v>
      </c>
      <c r="E485" s="3">
        <f t="shared" si="63"/>
        <v>78.969697982720064</v>
      </c>
      <c r="F485" cm="1">
        <f t="array" aca="1" ref="F485" ca="1">INDEX($O$2:$O$34,INT(A485/$Z$1)+1)</f>
        <v>79.17837905124243</v>
      </c>
      <c r="G485" cm="1">
        <f t="array" aca="1" ref="G485" ca="1">INDEX($O$2:$O$34,INT(A485/$Z$1)+2)</f>
        <v>76.965608112121529</v>
      </c>
      <c r="H485">
        <f t="shared" ca="1" si="59"/>
        <v>-6.9149091847528155E-2</v>
      </c>
      <c r="I485">
        <f t="shared" ca="1" si="60"/>
        <v>-0.20744727554258446</v>
      </c>
      <c r="J485" s="3">
        <f t="shared" ca="1" si="61"/>
        <v>78.970931775699853</v>
      </c>
      <c r="K485" s="3">
        <f t="shared" ca="1" si="62"/>
        <v>-1.2337929797894276E-3</v>
      </c>
      <c r="L485" s="3"/>
    </row>
    <row r="486" spans="1:12" x14ac:dyDescent="0.3">
      <c r="A486">
        <v>484</v>
      </c>
      <c r="B486" s="2">
        <f t="shared" si="56"/>
        <v>8979.5918367346931</v>
      </c>
      <c r="C486" s="2">
        <f t="shared" si="57"/>
        <v>3.34218266163184E-3</v>
      </c>
      <c r="D486" s="2">
        <f t="shared" si="58"/>
        <v>26.055669241232977</v>
      </c>
      <c r="E486" s="3">
        <f t="shared" si="63"/>
        <v>78.900204634219364</v>
      </c>
      <c r="F486" cm="1">
        <f t="array" aca="1" ref="F486" ca="1">INDEX($O$2:$O$34,INT(A486/$Z$1)+1)</f>
        <v>79.17837905124243</v>
      </c>
      <c r="G486" cm="1">
        <f t="array" aca="1" ref="G486" ca="1">INDEX($O$2:$O$34,INT(A486/$Z$1)+2)</f>
        <v>76.965608112121529</v>
      </c>
      <c r="H486">
        <f t="shared" ca="1" si="59"/>
        <v>-6.9149091847528155E-2</v>
      </c>
      <c r="I486">
        <f t="shared" ca="1" si="60"/>
        <v>-0.27659636739011262</v>
      </c>
      <c r="J486" s="3">
        <f t="shared" ca="1" si="61"/>
        <v>78.901782683852318</v>
      </c>
      <c r="K486" s="3">
        <f t="shared" ca="1" si="62"/>
        <v>-1.5780496329540483E-3</v>
      </c>
      <c r="L486" s="3"/>
    </row>
    <row r="487" spans="1:12" x14ac:dyDescent="0.3">
      <c r="A487">
        <v>485</v>
      </c>
      <c r="B487" s="2">
        <f t="shared" si="56"/>
        <v>9014.869888475836</v>
      </c>
      <c r="C487" s="2">
        <f t="shared" si="57"/>
        <v>3.3426137670693593E-3</v>
      </c>
      <c r="D487" s="2">
        <f t="shared" si="58"/>
        <v>26.017079921636082</v>
      </c>
      <c r="E487" s="3">
        <f t="shared" si="63"/>
        <v>78.830743858944942</v>
      </c>
      <c r="F487" cm="1">
        <f t="array" aca="1" ref="F487" ca="1">INDEX($O$2:$O$34,INT(A487/$Z$1)+1)</f>
        <v>79.17837905124243</v>
      </c>
      <c r="G487" cm="1">
        <f t="array" aca="1" ref="G487" ca="1">INDEX($O$2:$O$34,INT(A487/$Z$1)+2)</f>
        <v>76.965608112121529</v>
      </c>
      <c r="H487">
        <f t="shared" ca="1" si="59"/>
        <v>-6.9149091847528155E-2</v>
      </c>
      <c r="I487">
        <f t="shared" ca="1" si="60"/>
        <v>-0.34574545923764077</v>
      </c>
      <c r="J487" s="3">
        <f t="shared" ca="1" si="61"/>
        <v>78.832633592004782</v>
      </c>
      <c r="K487" s="3">
        <f t="shared" ca="1" si="62"/>
        <v>-1.889733059840637E-3</v>
      </c>
      <c r="L487" s="3"/>
    </row>
    <row r="488" spans="1:12" x14ac:dyDescent="0.3">
      <c r="A488">
        <v>486</v>
      </c>
      <c r="B488" s="2">
        <f t="shared" si="56"/>
        <v>9050.2793296089385</v>
      </c>
      <c r="C488" s="2">
        <f t="shared" si="57"/>
        <v>3.3430447849495779E-3</v>
      </c>
      <c r="D488" s="2">
        <f t="shared" si="58"/>
        <v>25.978508389121941</v>
      </c>
      <c r="E488" s="3">
        <f t="shared" si="63"/>
        <v>78.761315100419495</v>
      </c>
      <c r="F488" cm="1">
        <f t="array" aca="1" ref="F488" ca="1">INDEX($O$2:$O$34,INT(A488/$Z$1)+1)</f>
        <v>79.17837905124243</v>
      </c>
      <c r="G488" cm="1">
        <f t="array" aca="1" ref="G488" ca="1">INDEX($O$2:$O$34,INT(A488/$Z$1)+2)</f>
        <v>76.965608112121529</v>
      </c>
      <c r="H488">
        <f t="shared" ca="1" si="59"/>
        <v>-6.9149091847528155E-2</v>
      </c>
      <c r="I488">
        <f t="shared" ca="1" si="60"/>
        <v>-0.41489455108516893</v>
      </c>
      <c r="J488" s="3">
        <f t="shared" ca="1" si="61"/>
        <v>78.763484500157261</v>
      </c>
      <c r="K488" s="3">
        <f t="shared" ca="1" si="62"/>
        <v>-2.1693997377667529E-3</v>
      </c>
      <c r="L488" s="3"/>
    </row>
    <row r="489" spans="1:12" x14ac:dyDescent="0.3">
      <c r="A489">
        <v>487</v>
      </c>
      <c r="B489" s="2">
        <f t="shared" si="56"/>
        <v>9085.8208955223872</v>
      </c>
      <c r="C489" s="2">
        <f t="shared" si="57"/>
        <v>3.3434757186101161E-3</v>
      </c>
      <c r="D489" s="2">
        <f t="shared" si="58"/>
        <v>25.939954335215077</v>
      </c>
      <c r="E489" s="3">
        <f t="shared" si="63"/>
        <v>78.691917803387142</v>
      </c>
      <c r="F489" cm="1">
        <f t="array" aca="1" ref="F489" ca="1">INDEX($O$2:$O$34,INT(A489/$Z$1)+1)</f>
        <v>79.17837905124243</v>
      </c>
      <c r="G489" cm="1">
        <f t="array" aca="1" ref="G489" ca="1">INDEX($O$2:$O$34,INT(A489/$Z$1)+2)</f>
        <v>76.965608112121529</v>
      </c>
      <c r="H489">
        <f t="shared" ca="1" si="59"/>
        <v>-6.9149091847528155E-2</v>
      </c>
      <c r="I489">
        <f t="shared" ca="1" si="60"/>
        <v>-0.48404364293269708</v>
      </c>
      <c r="J489" s="3">
        <f t="shared" ca="1" si="61"/>
        <v>78.69433540830974</v>
      </c>
      <c r="K489" s="3">
        <f t="shared" ca="1" si="62"/>
        <v>-2.4176049225985707E-3</v>
      </c>
      <c r="L489" s="3"/>
    </row>
    <row r="490" spans="1:12" x14ac:dyDescent="0.3">
      <c r="A490">
        <v>488</v>
      </c>
      <c r="B490" s="2">
        <f t="shared" si="56"/>
        <v>9121.4953271028044</v>
      </c>
      <c r="C490" s="2">
        <f t="shared" si="57"/>
        <v>3.3439065713847032E-3</v>
      </c>
      <c r="D490" s="2">
        <f t="shared" si="58"/>
        <v>25.901417452103829</v>
      </c>
      <c r="E490" s="3">
        <f t="shared" si="63"/>
        <v>78.622551413786894</v>
      </c>
      <c r="F490" cm="1">
        <f t="array" aca="1" ref="F490" ca="1">INDEX($O$2:$O$34,INT(A490/$Z$1)+1)</f>
        <v>79.17837905124243</v>
      </c>
      <c r="G490" cm="1">
        <f t="array" aca="1" ref="G490" ca="1">INDEX($O$2:$O$34,INT(A490/$Z$1)+2)</f>
        <v>76.965608112121529</v>
      </c>
      <c r="H490">
        <f t="shared" ca="1" si="59"/>
        <v>-6.9149091847528155E-2</v>
      </c>
      <c r="I490">
        <f t="shared" ca="1" si="60"/>
        <v>-0.55319273478022524</v>
      </c>
      <c r="J490" s="3">
        <f t="shared" ca="1" si="61"/>
        <v>78.625186316462205</v>
      </c>
      <c r="K490" s="3">
        <f t="shared" ca="1" si="62"/>
        <v>-2.6349026753109683E-3</v>
      </c>
      <c r="L490" s="3"/>
    </row>
    <row r="491" spans="1:12" x14ac:dyDescent="0.3">
      <c r="A491">
        <v>489</v>
      </c>
      <c r="B491" s="2">
        <f t="shared" si="56"/>
        <v>9157.3033707865161</v>
      </c>
      <c r="C491" s="2">
        <f t="shared" si="57"/>
        <v>3.3443373466033313E-3</v>
      </c>
      <c r="D491" s="2">
        <f t="shared" si="58"/>
        <v>25.862897432625289</v>
      </c>
      <c r="E491" s="3">
        <f t="shared" si="63"/>
        <v>78.553215378725525</v>
      </c>
      <c r="F491" cm="1">
        <f t="array" aca="1" ref="F491" ca="1">INDEX($O$2:$O$34,INT(A491/$Z$1)+1)</f>
        <v>79.17837905124243</v>
      </c>
      <c r="G491" cm="1">
        <f t="array" aca="1" ref="G491" ca="1">INDEX($O$2:$O$34,INT(A491/$Z$1)+2)</f>
        <v>76.965608112121529</v>
      </c>
      <c r="H491">
        <f t="shared" ca="1" si="59"/>
        <v>-6.9149091847528155E-2</v>
      </c>
      <c r="I491">
        <f t="shared" ca="1" si="60"/>
        <v>-0.62234182662775339</v>
      </c>
      <c r="J491" s="3">
        <f t="shared" ca="1" si="61"/>
        <v>78.55603722461467</v>
      </c>
      <c r="K491" s="3">
        <f t="shared" ca="1" si="62"/>
        <v>-2.8218458891444698E-3</v>
      </c>
      <c r="L491" s="3"/>
    </row>
    <row r="492" spans="1:12" x14ac:dyDescent="0.3">
      <c r="A492">
        <v>490</v>
      </c>
      <c r="B492" s="2">
        <f t="shared" si="56"/>
        <v>9193.245778611632</v>
      </c>
      <c r="C492" s="2">
        <f t="shared" si="57"/>
        <v>3.3447680475924141E-3</v>
      </c>
      <c r="D492" s="2">
        <f t="shared" si="58"/>
        <v>25.824393970250526</v>
      </c>
      <c r="E492" s="3">
        <f t="shared" si="63"/>
        <v>78.483909146450941</v>
      </c>
      <c r="F492" cm="1">
        <f t="array" aca="1" ref="F492" ca="1">INDEX($O$2:$O$34,INT(A492/$Z$1)+1)</f>
        <v>79.17837905124243</v>
      </c>
      <c r="G492" cm="1">
        <f t="array" aca="1" ref="G492" ca="1">INDEX($O$2:$O$34,INT(A492/$Z$1)+2)</f>
        <v>76.965608112121529</v>
      </c>
      <c r="H492">
        <f t="shared" ca="1" si="59"/>
        <v>-6.9149091847528155E-2</v>
      </c>
      <c r="I492">
        <f t="shared" ca="1" si="60"/>
        <v>-0.69149091847528155</v>
      </c>
      <c r="J492" s="3">
        <f t="shared" ca="1" si="61"/>
        <v>78.486888132767149</v>
      </c>
      <c r="K492" s="3">
        <f t="shared" ca="1" si="62"/>
        <v>-2.9789863162079655E-3</v>
      </c>
      <c r="L492" s="3"/>
    </row>
    <row r="493" spans="1:12" x14ac:dyDescent="0.3">
      <c r="A493">
        <v>491</v>
      </c>
      <c r="B493" s="2">
        <f t="shared" si="56"/>
        <v>9229.3233082706774</v>
      </c>
      <c r="C493" s="2">
        <f t="shared" si="57"/>
        <v>3.3451986776749407E-3</v>
      </c>
      <c r="D493" s="2">
        <f t="shared" si="58"/>
        <v>25.785906759069917</v>
      </c>
      <c r="E493" s="3">
        <f t="shared" si="63"/>
        <v>78.414632166325845</v>
      </c>
      <c r="F493" cm="1">
        <f t="array" aca="1" ref="F493" ca="1">INDEX($O$2:$O$34,INT(A493/$Z$1)+1)</f>
        <v>79.17837905124243</v>
      </c>
      <c r="G493" cm="1">
        <f t="array" aca="1" ref="G493" ca="1">INDEX($O$2:$O$34,INT(A493/$Z$1)+2)</f>
        <v>76.965608112121529</v>
      </c>
      <c r="H493">
        <f t="shared" ca="1" si="59"/>
        <v>-6.9149091847528155E-2</v>
      </c>
      <c r="I493">
        <f t="shared" ca="1" si="60"/>
        <v>-0.7606400103228097</v>
      </c>
      <c r="J493" s="3">
        <f t="shared" ca="1" si="61"/>
        <v>78.417739040919628</v>
      </c>
      <c r="K493" s="3">
        <f t="shared" ca="1" si="62"/>
        <v>-3.1068745937830045E-3</v>
      </c>
      <c r="L493" s="3"/>
    </row>
    <row r="494" spans="1:12" x14ac:dyDescent="0.3">
      <c r="A494">
        <v>492</v>
      </c>
      <c r="B494" s="2">
        <f t="shared" si="56"/>
        <v>9265.5367231638411</v>
      </c>
      <c r="C494" s="2">
        <f t="shared" si="57"/>
        <v>3.3456292401706292E-3</v>
      </c>
      <c r="D494" s="2">
        <f t="shared" si="58"/>
        <v>25.747435493778596</v>
      </c>
      <c r="E494" s="3">
        <f t="shared" si="63"/>
        <v>78.345383888801479</v>
      </c>
      <c r="F494" cm="1">
        <f t="array" aca="1" ref="F494" ca="1">INDEX($O$2:$O$34,INT(A494/$Z$1)+1)</f>
        <v>79.17837905124243</v>
      </c>
      <c r="G494" cm="1">
        <f t="array" aca="1" ref="G494" ca="1">INDEX($O$2:$O$34,INT(A494/$Z$1)+2)</f>
        <v>76.965608112121529</v>
      </c>
      <c r="H494">
        <f t="shared" ca="1" si="59"/>
        <v>-6.9149091847528155E-2</v>
      </c>
      <c r="I494">
        <f t="shared" ca="1" si="60"/>
        <v>-0.82978910217033786</v>
      </c>
      <c r="J494" s="3">
        <f t="shared" ca="1" si="61"/>
        <v>78.348589949072093</v>
      </c>
      <c r="K494" s="3">
        <f t="shared" ca="1" si="62"/>
        <v>-3.2060602706138752E-3</v>
      </c>
      <c r="L494" s="3"/>
    </row>
    <row r="495" spans="1:12" x14ac:dyDescent="0.3">
      <c r="A495">
        <v>493</v>
      </c>
      <c r="B495" s="2">
        <f t="shared" si="56"/>
        <v>9301.8867924528295</v>
      </c>
      <c r="C495" s="2">
        <f t="shared" si="57"/>
        <v>3.3460597383960849E-3</v>
      </c>
      <c r="D495" s="2">
        <f t="shared" si="58"/>
        <v>25.708979869661391</v>
      </c>
      <c r="E495" s="3">
        <f t="shared" si="63"/>
        <v>78.276163765390507</v>
      </c>
      <c r="F495" cm="1">
        <f t="array" aca="1" ref="F495" ca="1">INDEX($O$2:$O$34,INT(A495/$Z$1)+1)</f>
        <v>79.17837905124243</v>
      </c>
      <c r="G495" cm="1">
        <f t="array" aca="1" ref="G495" ca="1">INDEX($O$2:$O$34,INT(A495/$Z$1)+2)</f>
        <v>76.965608112121529</v>
      </c>
      <c r="H495">
        <f t="shared" ca="1" si="59"/>
        <v>-6.9149091847528155E-2</v>
      </c>
      <c r="I495">
        <f t="shared" ca="1" si="60"/>
        <v>-0.89893819401786601</v>
      </c>
      <c r="J495" s="3">
        <f t="shared" ca="1" si="61"/>
        <v>78.279440857224557</v>
      </c>
      <c r="K495" s="3">
        <f t="shared" ca="1" si="62"/>
        <v>-3.2770918340503385E-3</v>
      </c>
      <c r="L495" s="3"/>
    </row>
    <row r="496" spans="1:12" x14ac:dyDescent="0.3">
      <c r="A496">
        <v>494</v>
      </c>
      <c r="B496" s="2">
        <f t="shared" si="56"/>
        <v>9338.3742911153113</v>
      </c>
      <c r="C496" s="2">
        <f t="shared" si="57"/>
        <v>3.346490175664951E-3</v>
      </c>
      <c r="D496" s="2">
        <f t="shared" si="58"/>
        <v>25.670539582578954</v>
      </c>
      <c r="E496" s="3">
        <f t="shared" si="63"/>
        <v>78.20697124864212</v>
      </c>
      <c r="F496" cm="1">
        <f t="array" aca="1" ref="F496" ca="1">INDEX($O$2:$O$34,INT(A496/$Z$1)+1)</f>
        <v>79.17837905124243</v>
      </c>
      <c r="G496" cm="1">
        <f t="array" aca="1" ref="G496" ca="1">INDEX($O$2:$O$34,INT(A496/$Z$1)+2)</f>
        <v>76.965608112121529</v>
      </c>
      <c r="H496">
        <f t="shared" ca="1" si="59"/>
        <v>-6.9149091847528155E-2</v>
      </c>
      <c r="I496">
        <f t="shared" ca="1" si="60"/>
        <v>-0.96808728586539416</v>
      </c>
      <c r="J496" s="3">
        <f t="shared" ca="1" si="61"/>
        <v>78.210291765377036</v>
      </c>
      <c r="K496" s="3">
        <f t="shared" ca="1" si="62"/>
        <v>-3.3205167349166231E-3</v>
      </c>
      <c r="L496" s="3"/>
    </row>
    <row r="497" spans="1:12" x14ac:dyDescent="0.3">
      <c r="A497">
        <v>495</v>
      </c>
      <c r="B497" s="2">
        <f t="shared" si="56"/>
        <v>9375</v>
      </c>
      <c r="C497" s="2">
        <f t="shared" si="57"/>
        <v>3.3469205552880636E-3</v>
      </c>
      <c r="D497" s="2">
        <f t="shared" si="58"/>
        <v>25.632114328952696</v>
      </c>
      <c r="E497" s="3">
        <f t="shared" si="63"/>
        <v>78.137805792114847</v>
      </c>
      <c r="F497" cm="1">
        <f t="array" aca="1" ref="F497" ca="1">INDEX($O$2:$O$34,INT(A497/$Z$1)+1)</f>
        <v>79.17837905124243</v>
      </c>
      <c r="G497" cm="1">
        <f t="array" aca="1" ref="G497" ca="1">INDEX($O$2:$O$34,INT(A497/$Z$1)+2)</f>
        <v>76.965608112121529</v>
      </c>
      <c r="H497">
        <f t="shared" ca="1" si="59"/>
        <v>-6.9149091847528155E-2</v>
      </c>
      <c r="I497">
        <f t="shared" ca="1" si="60"/>
        <v>-1.0372363777129223</v>
      </c>
      <c r="J497" s="3">
        <f t="shared" ca="1" si="61"/>
        <v>78.141142673529515</v>
      </c>
      <c r="K497" s="3">
        <f t="shared" ca="1" si="62"/>
        <v>-3.336881414668369E-3</v>
      </c>
      <c r="L497" s="3"/>
    </row>
    <row r="498" spans="1:12" x14ac:dyDescent="0.3">
      <c r="A498">
        <v>496</v>
      </c>
      <c r="B498" s="2">
        <f t="shared" si="56"/>
        <v>9411.7647058823532</v>
      </c>
      <c r="C498" s="2">
        <f t="shared" si="57"/>
        <v>3.3473508805736065E-3</v>
      </c>
      <c r="D498" s="2">
        <f t="shared" si="58"/>
        <v>25.593703805750636</v>
      </c>
      <c r="E498" s="3">
        <f t="shared" si="63"/>
        <v>78.06866685035115</v>
      </c>
      <c r="F498" cm="1">
        <f t="array" aca="1" ref="F498" ca="1">INDEX($O$2:$O$34,INT(A498/$Z$1)+1)</f>
        <v>79.17837905124243</v>
      </c>
      <c r="G498" cm="1">
        <f t="array" aca="1" ref="G498" ca="1">INDEX($O$2:$O$34,INT(A498/$Z$1)+2)</f>
        <v>76.965608112121529</v>
      </c>
      <c r="H498">
        <f t="shared" ca="1" si="59"/>
        <v>-6.9149091847528155E-2</v>
      </c>
      <c r="I498">
        <f t="shared" ca="1" si="60"/>
        <v>-1.1063854695604505</v>
      </c>
      <c r="J498" s="3">
        <f t="shared" ca="1" si="61"/>
        <v>78.07199358168198</v>
      </c>
      <c r="K498" s="3">
        <f t="shared" ca="1" si="62"/>
        <v>-3.3267313308300572E-3</v>
      </c>
      <c r="L498" s="3"/>
    </row>
    <row r="499" spans="1:12" x14ac:dyDescent="0.3">
      <c r="A499">
        <v>497</v>
      </c>
      <c r="B499" s="2">
        <f t="shared" si="56"/>
        <v>9448.6692015209119</v>
      </c>
      <c r="C499" s="2">
        <f t="shared" si="57"/>
        <v>3.3477811548272627E-3</v>
      </c>
      <c r="D499" s="2">
        <f t="shared" si="58"/>
        <v>25.55530771047296</v>
      </c>
      <c r="E499" s="3">
        <f t="shared" si="63"/>
        <v>77.99955387885133</v>
      </c>
      <c r="F499" cm="1">
        <f t="array" aca="1" ref="F499" ca="1">INDEX($O$2:$O$34,INT(A499/$Z$1)+1)</f>
        <v>79.17837905124243</v>
      </c>
      <c r="G499" cm="1">
        <f t="array" aca="1" ref="G499" ca="1">INDEX($O$2:$O$34,INT(A499/$Z$1)+2)</f>
        <v>76.965608112121529</v>
      </c>
      <c r="H499">
        <f t="shared" ca="1" si="59"/>
        <v>-6.9149091847528155E-2</v>
      </c>
      <c r="I499">
        <f t="shared" ca="1" si="60"/>
        <v>-1.1755345614079786</v>
      </c>
      <c r="J499" s="3">
        <f t="shared" ca="1" si="61"/>
        <v>78.002844489834445</v>
      </c>
      <c r="K499" s="3">
        <f t="shared" ca="1" si="62"/>
        <v>-3.2906109831145613E-3</v>
      </c>
      <c r="L499" s="3"/>
    </row>
    <row r="500" spans="1:12" x14ac:dyDescent="0.3">
      <c r="A500">
        <v>498</v>
      </c>
      <c r="B500" s="2">
        <f t="shared" si="56"/>
        <v>9485.7142857142862</v>
      </c>
      <c r="C500" s="2">
        <f t="shared" si="57"/>
        <v>3.3482113813523683E-3</v>
      </c>
      <c r="D500" s="2">
        <f t="shared" si="58"/>
        <v>25.516925741137754</v>
      </c>
      <c r="E500" s="3">
        <f t="shared" si="63"/>
        <v>77.930466334047964</v>
      </c>
      <c r="F500" cm="1">
        <f t="array" aca="1" ref="F500" ca="1">INDEX($O$2:$O$34,INT(A500/$Z$1)+1)</f>
        <v>79.17837905124243</v>
      </c>
      <c r="G500" cm="1">
        <f t="array" aca="1" ref="G500" ca="1">INDEX($O$2:$O$34,INT(A500/$Z$1)+2)</f>
        <v>76.965608112121529</v>
      </c>
      <c r="H500">
        <f t="shared" ca="1" si="59"/>
        <v>-6.9149091847528155E-2</v>
      </c>
      <c r="I500">
        <f t="shared" ca="1" si="60"/>
        <v>-1.2446836532555068</v>
      </c>
      <c r="J500" s="3">
        <f t="shared" ca="1" si="61"/>
        <v>77.933695397986924</v>
      </c>
      <c r="K500" s="3">
        <f t="shared" ca="1" si="62"/>
        <v>-3.2290639389600528E-3</v>
      </c>
      <c r="L500" s="3"/>
    </row>
    <row r="501" spans="1:12" x14ac:dyDescent="0.3">
      <c r="A501">
        <v>499</v>
      </c>
      <c r="B501" s="2">
        <f t="shared" si="56"/>
        <v>9522.9007633587789</v>
      </c>
      <c r="C501" s="2">
        <f t="shared" si="57"/>
        <v>3.3486415634500651E-3</v>
      </c>
      <c r="D501" s="2">
        <f t="shared" si="58"/>
        <v>25.478557596266626</v>
      </c>
      <c r="E501" s="3">
        <f t="shared" si="63"/>
        <v>77.861403673279924</v>
      </c>
      <c r="F501" cm="1">
        <f t="array" aca="1" ref="F501" ca="1">INDEX($O$2:$O$34,INT(A501/$Z$1)+1)</f>
        <v>79.17837905124243</v>
      </c>
      <c r="G501" cm="1">
        <f t="array" aca="1" ref="G501" ca="1">INDEX($O$2:$O$34,INT(A501/$Z$1)+2)</f>
        <v>76.965608112121529</v>
      </c>
      <c r="H501">
        <f t="shared" ca="1" si="59"/>
        <v>-6.9149091847528155E-2</v>
      </c>
      <c r="I501">
        <f t="shared" ca="1" si="60"/>
        <v>-1.3138327451030349</v>
      </c>
      <c r="J501" s="3">
        <f t="shared" ca="1" si="61"/>
        <v>77.864546306139403</v>
      </c>
      <c r="K501" s="3">
        <f t="shared" ca="1" si="62"/>
        <v>-3.142632859479022E-3</v>
      </c>
      <c r="L501" s="3"/>
    </row>
    <row r="502" spans="1:12" x14ac:dyDescent="0.3">
      <c r="A502">
        <v>500</v>
      </c>
      <c r="B502" s="2">
        <f t="shared" si="56"/>
        <v>9560.2294455066913</v>
      </c>
      <c r="C502" s="2">
        <f t="shared" si="57"/>
        <v>3.3490717044194528E-3</v>
      </c>
      <c r="D502" s="2">
        <f t="shared" si="58"/>
        <v>25.440202974870544</v>
      </c>
      <c r="E502" s="3">
        <f t="shared" si="63"/>
        <v>77.792365354766986</v>
      </c>
      <c r="F502" cm="1">
        <f t="array" aca="1" ref="F502" ca="1">INDEX($O$2:$O$34,INT(A502/$Z$1)+1)</f>
        <v>79.17837905124243</v>
      </c>
      <c r="G502" cm="1">
        <f t="array" aca="1" ref="G502" ca="1">INDEX($O$2:$O$34,INT(A502/$Z$1)+2)</f>
        <v>76.965608112121529</v>
      </c>
      <c r="H502">
        <f t="shared" ca="1" si="59"/>
        <v>-6.9149091847528155E-2</v>
      </c>
      <c r="I502">
        <f t="shared" ca="1" si="60"/>
        <v>-1.3829818369505631</v>
      </c>
      <c r="J502" s="3">
        <f t="shared" ca="1" si="61"/>
        <v>77.795397214291867</v>
      </c>
      <c r="K502" s="3">
        <f t="shared" ca="1" si="62"/>
        <v>-3.0318595248814972E-3</v>
      </c>
      <c r="L502" s="3"/>
    </row>
    <row r="503" spans="1:12" x14ac:dyDescent="0.3">
      <c r="A503">
        <v>501</v>
      </c>
      <c r="B503" s="2">
        <f t="shared" si="56"/>
        <v>9597.7011494252874</v>
      </c>
      <c r="C503" s="2">
        <f t="shared" si="57"/>
        <v>3.3495018075577416E-3</v>
      </c>
      <c r="D503" s="2">
        <f t="shared" si="58"/>
        <v>25.401861576435692</v>
      </c>
      <c r="E503" s="3">
        <f t="shared" si="63"/>
        <v>77.723350837584249</v>
      </c>
      <c r="F503" cm="1">
        <f t="array" aca="1" ref="F503" ca="1">INDEX($O$2:$O$34,INT(A503/$Z$1)+1)</f>
        <v>79.17837905124243</v>
      </c>
      <c r="G503" cm="1">
        <f t="array" aca="1" ref="G503" ca="1">INDEX($O$2:$O$34,INT(A503/$Z$1)+2)</f>
        <v>76.965608112121529</v>
      </c>
      <c r="H503">
        <f t="shared" ca="1" si="59"/>
        <v>-6.9149091847528155E-2</v>
      </c>
      <c r="I503">
        <f t="shared" ca="1" si="60"/>
        <v>-1.4521309287980912</v>
      </c>
      <c r="J503" s="3">
        <f t="shared" ca="1" si="61"/>
        <v>77.726248122444332</v>
      </c>
      <c r="K503" s="3">
        <f t="shared" ca="1" si="62"/>
        <v>-2.8972848600830048E-3</v>
      </c>
      <c r="L503" s="3"/>
    </row>
    <row r="504" spans="1:12" x14ac:dyDescent="0.3">
      <c r="A504">
        <v>502</v>
      </c>
      <c r="B504" s="2">
        <f t="shared" si="56"/>
        <v>9635.3166986564302</v>
      </c>
      <c r="C504" s="2">
        <f t="shared" si="57"/>
        <v>3.3499318761604025E-3</v>
      </c>
      <c r="D504" s="2">
        <f t="shared" si="58"/>
        <v>25.363533100909478</v>
      </c>
      <c r="E504" s="3">
        <f t="shared" si="63"/>
        <v>77.654359581637067</v>
      </c>
      <c r="F504" cm="1">
        <f t="array" aca="1" ref="F504" ca="1">INDEX($O$2:$O$34,INT(A504/$Z$1)+1)</f>
        <v>79.17837905124243</v>
      </c>
      <c r="G504" cm="1">
        <f t="array" aca="1" ref="G504" ca="1">INDEX($O$2:$O$34,INT(A504/$Z$1)+2)</f>
        <v>76.965608112121529</v>
      </c>
      <c r="H504">
        <f t="shared" ca="1" si="59"/>
        <v>-6.9149091847528155E-2</v>
      </c>
      <c r="I504">
        <f t="shared" ca="1" si="60"/>
        <v>-1.5212800206456194</v>
      </c>
      <c r="J504" s="3">
        <f t="shared" ca="1" si="61"/>
        <v>77.657099030596811</v>
      </c>
      <c r="K504" s="3">
        <f t="shared" ca="1" si="62"/>
        <v>-2.7394489597440952E-3</v>
      </c>
      <c r="L504" s="3"/>
    </row>
    <row r="505" spans="1:12" x14ac:dyDescent="0.3">
      <c r="A505">
        <v>503</v>
      </c>
      <c r="B505" s="2">
        <f t="shared" si="56"/>
        <v>9673.0769230769238</v>
      </c>
      <c r="C505" s="2">
        <f t="shared" si="57"/>
        <v>3.3503619135213224E-3</v>
      </c>
      <c r="D505" s="2">
        <f t="shared" si="58"/>
        <v>25.325217248685988</v>
      </c>
      <c r="E505" s="3">
        <f t="shared" si="63"/>
        <v>77.585391047634772</v>
      </c>
      <c r="F505" cm="1">
        <f t="array" aca="1" ref="F505" ca="1">INDEX($O$2:$O$34,INT(A505/$Z$1)+1)</f>
        <v>79.17837905124243</v>
      </c>
      <c r="G505" cm="1">
        <f t="array" aca="1" ref="G505" ca="1">INDEX($O$2:$O$34,INT(A505/$Z$1)+2)</f>
        <v>76.965608112121529</v>
      </c>
      <c r="H505">
        <f t="shared" ca="1" si="59"/>
        <v>-6.9149091847528155E-2</v>
      </c>
      <c r="I505">
        <f t="shared" ca="1" si="60"/>
        <v>-1.5904291124931476</v>
      </c>
      <c r="J505" s="3">
        <f t="shared" ca="1" si="61"/>
        <v>77.58794993874929</v>
      </c>
      <c r="K505" s="3">
        <f t="shared" ca="1" si="62"/>
        <v>-2.5588911145177917E-3</v>
      </c>
      <c r="L505" s="3"/>
    </row>
    <row r="506" spans="1:12" x14ac:dyDescent="0.3">
      <c r="A506">
        <v>504</v>
      </c>
      <c r="B506" s="2">
        <f t="shared" si="56"/>
        <v>9710.9826589595377</v>
      </c>
      <c r="C506" s="2">
        <f t="shared" si="57"/>
        <v>3.3507919229329524E-3</v>
      </c>
      <c r="D506" s="2">
        <f t="shared" si="58"/>
        <v>25.286913720592622</v>
      </c>
      <c r="E506" s="3">
        <f t="shared" si="63"/>
        <v>77.516444697066717</v>
      </c>
      <c r="F506" cm="1">
        <f t="array" aca="1" ref="F506" ca="1">INDEX($O$2:$O$34,INT(A506/$Z$1)+1)</f>
        <v>79.17837905124243</v>
      </c>
      <c r="G506" cm="1">
        <f t="array" aca="1" ref="G506" ca="1">INDEX($O$2:$O$34,INT(A506/$Z$1)+2)</f>
        <v>76.965608112121529</v>
      </c>
      <c r="H506">
        <f t="shared" ca="1" si="59"/>
        <v>-6.9149091847528155E-2</v>
      </c>
      <c r="I506">
        <f t="shared" ca="1" si="60"/>
        <v>-1.6595782043406757</v>
      </c>
      <c r="J506" s="3">
        <f t="shared" ca="1" si="61"/>
        <v>77.518800846901755</v>
      </c>
      <c r="K506" s="3">
        <f t="shared" ca="1" si="62"/>
        <v>-2.3561498350375132E-3</v>
      </c>
      <c r="L506" s="3"/>
    </row>
    <row r="507" spans="1:12" x14ac:dyDescent="0.3">
      <c r="A507">
        <v>505</v>
      </c>
      <c r="B507" s="2">
        <f t="shared" si="56"/>
        <v>9749.0347490347485</v>
      </c>
      <c r="C507" s="2">
        <f t="shared" si="57"/>
        <v>3.3512219076864617E-3</v>
      </c>
      <c r="D507" s="2">
        <f t="shared" si="58"/>
        <v>25.248622217875379</v>
      </c>
      <c r="E507" s="3">
        <f t="shared" si="63"/>
        <v>77.447519992175685</v>
      </c>
      <c r="F507" cm="1">
        <f t="array" aca="1" ref="F507" ca="1">INDEX($O$2:$O$34,INT(A507/$Z$1)+1)</f>
        <v>79.17837905124243</v>
      </c>
      <c r="G507" cm="1">
        <f t="array" aca="1" ref="G507" ca="1">INDEX($O$2:$O$34,INT(A507/$Z$1)+2)</f>
        <v>76.965608112121529</v>
      </c>
      <c r="H507">
        <f t="shared" ca="1" si="59"/>
        <v>-6.9149091847528155E-2</v>
      </c>
      <c r="I507">
        <f t="shared" ca="1" si="60"/>
        <v>-1.7287272961882039</v>
      </c>
      <c r="J507" s="3">
        <f t="shared" ca="1" si="61"/>
        <v>77.449651755054219</v>
      </c>
      <c r="K507" s="3">
        <f t="shared" ca="1" si="62"/>
        <v>-2.1317628785340048E-3</v>
      </c>
      <c r="L507" s="3"/>
    </row>
    <row r="508" spans="1:12" x14ac:dyDescent="0.3">
      <c r="A508">
        <v>506</v>
      </c>
      <c r="B508" s="2">
        <f t="shared" si="56"/>
        <v>9787.2340425531911</v>
      </c>
      <c r="C508" s="2">
        <f t="shared" si="57"/>
        <v>3.3516518710718863E-3</v>
      </c>
      <c r="D508" s="2">
        <f t="shared" si="58"/>
        <v>25.210342442185606</v>
      </c>
      <c r="E508" s="3">
        <f t="shared" si="63"/>
        <v>77.378616395934088</v>
      </c>
      <c r="F508" cm="1">
        <f t="array" aca="1" ref="F508" ca="1">INDEX($O$2:$O$34,INT(A508/$Z$1)+1)</f>
        <v>79.17837905124243</v>
      </c>
      <c r="G508" cm="1">
        <f t="array" aca="1" ref="G508" ca="1">INDEX($O$2:$O$34,INT(A508/$Z$1)+2)</f>
        <v>76.965608112121529</v>
      </c>
      <c r="H508">
        <f t="shared" ca="1" si="59"/>
        <v>-6.9149091847528155E-2</v>
      </c>
      <c r="I508">
        <f t="shared" ca="1" si="60"/>
        <v>-1.797876388035732</v>
      </c>
      <c r="J508" s="3">
        <f t="shared" ca="1" si="61"/>
        <v>77.380502663206698</v>
      </c>
      <c r="K508" s="3">
        <f t="shared" ca="1" si="62"/>
        <v>-1.8862672726100982E-3</v>
      </c>
      <c r="L508" s="3"/>
    </row>
    <row r="509" spans="1:12" x14ac:dyDescent="0.3">
      <c r="A509">
        <v>507</v>
      </c>
      <c r="B509" s="2">
        <f t="shared" si="56"/>
        <v>9825.5813953488378</v>
      </c>
      <c r="C509" s="2">
        <f t="shared" si="57"/>
        <v>3.3520818163782834E-3</v>
      </c>
      <c r="D509" s="2">
        <f t="shared" si="58"/>
        <v>25.172074095565506</v>
      </c>
      <c r="E509" s="3">
        <f t="shared" si="63"/>
        <v>77.309733372017917</v>
      </c>
      <c r="F509" cm="1">
        <f t="array" aca="1" ref="F509" ca="1">INDEX($O$2:$O$34,INT(A509/$Z$1)+1)</f>
        <v>79.17837905124243</v>
      </c>
      <c r="G509" cm="1">
        <f t="array" aca="1" ref="G509" ca="1">INDEX($O$2:$O$34,INT(A509/$Z$1)+2)</f>
        <v>76.965608112121529</v>
      </c>
      <c r="H509">
        <f t="shared" ca="1" si="59"/>
        <v>-6.9149091847528155E-2</v>
      </c>
      <c r="I509">
        <f t="shared" ca="1" si="60"/>
        <v>-1.8670254798832602</v>
      </c>
      <c r="J509" s="3">
        <f t="shared" ca="1" si="61"/>
        <v>77.311353571359177</v>
      </c>
      <c r="K509" s="3">
        <f t="shared" ca="1" si="62"/>
        <v>-1.6201993412607862E-3</v>
      </c>
      <c r="L509" s="3"/>
    </row>
    <row r="510" spans="1:12" x14ac:dyDescent="0.3">
      <c r="A510">
        <v>508</v>
      </c>
      <c r="B510" s="2">
        <f t="shared" si="56"/>
        <v>9864.077669902912</v>
      </c>
      <c r="C510" s="2">
        <f t="shared" si="57"/>
        <v>3.3525117468938791E-3</v>
      </c>
      <c r="D510" s="2">
        <f t="shared" si="58"/>
        <v>25.133816880434722</v>
      </c>
      <c r="E510" s="3">
        <f t="shared" si="63"/>
        <v>77.240870384782497</v>
      </c>
      <c r="F510" cm="1">
        <f t="array" aca="1" ref="F510" ca="1">INDEX($O$2:$O$34,INT(A510/$Z$1)+1)</f>
        <v>79.17837905124243</v>
      </c>
      <c r="G510" cm="1">
        <f t="array" aca="1" ref="G510" ca="1">INDEX($O$2:$O$34,INT(A510/$Z$1)+2)</f>
        <v>76.965608112121529</v>
      </c>
      <c r="H510">
        <f t="shared" ca="1" si="59"/>
        <v>-6.9149091847528155E-2</v>
      </c>
      <c r="I510">
        <f t="shared" ca="1" si="60"/>
        <v>-1.9361745717307883</v>
      </c>
      <c r="J510" s="3">
        <f t="shared" ca="1" si="61"/>
        <v>77.242204479511642</v>
      </c>
      <c r="K510" s="3">
        <f t="shared" ca="1" si="62"/>
        <v>-1.3340947291453631E-3</v>
      </c>
      <c r="L510" s="3"/>
    </row>
    <row r="511" spans="1:12" x14ac:dyDescent="0.3">
      <c r="A511">
        <v>509</v>
      </c>
      <c r="B511" s="2">
        <f t="shared" si="56"/>
        <v>9902.723735408561</v>
      </c>
      <c r="C511" s="2">
        <f t="shared" si="57"/>
        <v>3.3529416659062224E-3</v>
      </c>
      <c r="D511" s="2">
        <f t="shared" si="58"/>
        <v>25.095570499576013</v>
      </c>
      <c r="E511" s="3">
        <f t="shared" si="63"/>
        <v>77.172026899236826</v>
      </c>
      <c r="F511" cm="1">
        <f t="array" aca="1" ref="F511" ca="1">INDEX($O$2:$O$34,INT(A511/$Z$1)+1)</f>
        <v>79.17837905124243</v>
      </c>
      <c r="G511" cm="1">
        <f t="array" aca="1" ref="G511" ca="1">INDEX($O$2:$O$34,INT(A511/$Z$1)+2)</f>
        <v>76.965608112121529</v>
      </c>
      <c r="H511">
        <f t="shared" ca="1" si="59"/>
        <v>-6.9149091847528155E-2</v>
      </c>
      <c r="I511">
        <f t="shared" ca="1" si="60"/>
        <v>-2.0053236635783165</v>
      </c>
      <c r="J511" s="3">
        <f t="shared" ca="1" si="61"/>
        <v>77.173055387664107</v>
      </c>
      <c r="K511" s="3">
        <f t="shared" ca="1" si="62"/>
        <v>-1.0284884272806494E-3</v>
      </c>
      <c r="L511" s="3"/>
    </row>
    <row r="512" spans="1:12" x14ac:dyDescent="0.3">
      <c r="A512">
        <v>510</v>
      </c>
      <c r="B512" s="2">
        <f t="shared" si="56"/>
        <v>9941.520467836257</v>
      </c>
      <c r="C512" s="2">
        <f t="shared" si="57"/>
        <v>3.353371576702333E-3</v>
      </c>
      <c r="D512" s="2">
        <f t="shared" si="58"/>
        <v>25.057334656122009</v>
      </c>
      <c r="E512" s="3">
        <f t="shared" si="63"/>
        <v>77.103202381019614</v>
      </c>
      <c r="F512" cm="1">
        <f t="array" aca="1" ref="F512" ca="1">INDEX($O$2:$O$34,INT(A512/$Z$1)+1)</f>
        <v>79.17837905124243</v>
      </c>
      <c r="G512" cm="1">
        <f t="array" aca="1" ref="G512" ca="1">INDEX($O$2:$O$34,INT(A512/$Z$1)+2)</f>
        <v>76.965608112121529</v>
      </c>
      <c r="H512">
        <f t="shared" ca="1" si="59"/>
        <v>-6.9149091847528155E-2</v>
      </c>
      <c r="I512">
        <f t="shared" ca="1" si="60"/>
        <v>-2.0744727554258446</v>
      </c>
      <c r="J512" s="3">
        <f t="shared" ca="1" si="61"/>
        <v>77.103906295816586</v>
      </c>
      <c r="K512" s="3">
        <f t="shared" ca="1" si="62"/>
        <v>-7.039147969720716E-4</v>
      </c>
      <c r="L512" s="3"/>
    </row>
    <row r="513" spans="1:12" x14ac:dyDescent="0.3">
      <c r="A513">
        <v>511</v>
      </c>
      <c r="B513" s="2">
        <f t="shared" si="56"/>
        <v>9980.46875</v>
      </c>
      <c r="C513" s="2">
        <f t="shared" si="57"/>
        <v>3.3538014825688547E-3</v>
      </c>
      <c r="D513" s="2">
        <f t="shared" si="58"/>
        <v>25.019109053540944</v>
      </c>
      <c r="E513" s="3">
        <f t="shared" si="63"/>
        <v>77.0343962963737</v>
      </c>
      <c r="F513" cm="1">
        <f t="array" aca="1" ref="F513" ca="1">INDEX($O$2:$O$34,INT(A513/$Z$1)+1)</f>
        <v>79.17837905124243</v>
      </c>
      <c r="G513" cm="1">
        <f t="array" aca="1" ref="G513" ca="1">INDEX($O$2:$O$34,INT(A513/$Z$1)+2)</f>
        <v>76.965608112121529</v>
      </c>
      <c r="H513">
        <f t="shared" ca="1" si="59"/>
        <v>-6.9149091847528155E-2</v>
      </c>
      <c r="I513">
        <f t="shared" ca="1" si="60"/>
        <v>-2.1436218472733728</v>
      </c>
      <c r="J513" s="3">
        <f t="shared" ca="1" si="61"/>
        <v>77.034757203969065</v>
      </c>
      <c r="K513" s="3">
        <f t="shared" ca="1" si="62"/>
        <v>-3.609075953647789E-4</v>
      </c>
      <c r="L513" s="3"/>
    </row>
    <row r="514" spans="1:12" x14ac:dyDescent="0.3">
      <c r="A514">
        <v>512</v>
      </c>
      <c r="B514" s="2">
        <f t="shared" ref="B514:B577" si="64">$T$1*A514/($V$1-A514)</f>
        <v>10019.569471624267</v>
      </c>
      <c r="C514" s="2">
        <f t="shared" ref="C514:C577" si="65">LOG(B514/$T$2)/$T$3 + (1/$X$2)</f>
        <v>3.354231386792206E-3</v>
      </c>
      <c r="D514" s="2">
        <f t="shared" ref="D514:D577" si="66">1/C514 - 273.15</f>
        <v>24.98089339562307</v>
      </c>
      <c r="E514" s="3">
        <f t="shared" si="63"/>
        <v>76.965608112121529</v>
      </c>
      <c r="F514" cm="1">
        <f t="array" aca="1" ref="F514" ca="1">INDEX($O$2:$O$34,INT(A514/$Z$1)+1)</f>
        <v>76.965608112121529</v>
      </c>
      <c r="G514" cm="1">
        <f t="array" aca="1" ref="G514" ca="1">INDEX($O$2:$O$34,INT(A514/$Z$1)+2)</f>
        <v>74.77066820864691</v>
      </c>
      <c r="H514">
        <f t="shared" ca="1" si="59"/>
        <v>-6.8591871983581854E-2</v>
      </c>
      <c r="I514">
        <f t="shared" ca="1" si="60"/>
        <v>0</v>
      </c>
      <c r="J514" s="3">
        <f t="shared" ca="1" si="61"/>
        <v>76.965608112121529</v>
      </c>
      <c r="K514" s="3">
        <f t="shared" ca="1" si="62"/>
        <v>0</v>
      </c>
      <c r="L514" s="3"/>
    </row>
    <row r="515" spans="1:12" x14ac:dyDescent="0.3">
      <c r="A515">
        <v>513</v>
      </c>
      <c r="B515" s="2">
        <f t="shared" si="64"/>
        <v>10058.823529411764</v>
      </c>
      <c r="C515" s="2">
        <f t="shared" si="65"/>
        <v>3.3546612926587276E-3</v>
      </c>
      <c r="D515" s="2">
        <f t="shared" si="66"/>
        <v>24.942687386467185</v>
      </c>
      <c r="E515" s="3">
        <f t="shared" si="63"/>
        <v>76.896837295640935</v>
      </c>
      <c r="F515" cm="1">
        <f t="array" aca="1" ref="F515" ca="1">INDEX($O$2:$O$34,INT(A515/$Z$1)+1)</f>
        <v>76.965608112121529</v>
      </c>
      <c r="G515" cm="1">
        <f t="array" aca="1" ref="G515" ca="1">INDEX($O$2:$O$34,INT(A515/$Z$1)+2)</f>
        <v>74.77066820864691</v>
      </c>
      <c r="H515">
        <f t="shared" ref="H515:H578" ca="1" si="67">(G515-F515)/$Z$1</f>
        <v>-6.8591871983581854E-2</v>
      </c>
      <c r="I515">
        <f t="shared" ref="I515:I578" ca="1" si="68">H515*MOD(A515,$Z$1)</f>
        <v>-6.8591871983581854E-2</v>
      </c>
      <c r="J515" s="3">
        <f t="shared" ref="J515:J578" ca="1" si="69">F515+I515</f>
        <v>76.897016240137944</v>
      </c>
      <c r="K515" s="3">
        <f t="shared" ref="K515:K578" ca="1" si="70">E515-J515</f>
        <v>-1.7894449700861514E-4</v>
      </c>
      <c r="L515" s="3"/>
    </row>
    <row r="516" spans="1:12" x14ac:dyDescent="0.3">
      <c r="A516">
        <v>514</v>
      </c>
      <c r="B516" s="2">
        <f t="shared" si="64"/>
        <v>10098.231827111984</v>
      </c>
      <c r="C516" s="2">
        <f t="shared" si="65"/>
        <v>3.3550912034548382E-3</v>
      </c>
      <c r="D516" s="2">
        <f t="shared" si="66"/>
        <v>24.904490730466591</v>
      </c>
      <c r="E516" s="3">
        <f t="shared" ref="E516:E579" si="71">D516*9/5 + 32</f>
        <v>76.828083314839859</v>
      </c>
      <c r="F516" cm="1">
        <f t="array" aca="1" ref="F516" ca="1">INDEX($O$2:$O$34,INT(A516/$Z$1)+1)</f>
        <v>76.965608112121529</v>
      </c>
      <c r="G516" cm="1">
        <f t="array" aca="1" ref="G516" ca="1">INDEX($O$2:$O$34,INT(A516/$Z$1)+2)</f>
        <v>74.77066820864691</v>
      </c>
      <c r="H516">
        <f t="shared" ca="1" si="67"/>
        <v>-6.8591871983581854E-2</v>
      </c>
      <c r="I516">
        <f t="shared" ca="1" si="68"/>
        <v>-0.13718374396716371</v>
      </c>
      <c r="J516" s="3">
        <f t="shared" ca="1" si="69"/>
        <v>76.828424368154373</v>
      </c>
      <c r="K516" s="3">
        <f t="shared" ca="1" si="70"/>
        <v>-3.4105331451428356E-4</v>
      </c>
      <c r="L516" s="3"/>
    </row>
    <row r="517" spans="1:12" x14ac:dyDescent="0.3">
      <c r="A517">
        <v>515</v>
      </c>
      <c r="B517" s="2">
        <f t="shared" si="64"/>
        <v>10137.795275590552</v>
      </c>
      <c r="C517" s="2">
        <f t="shared" si="65"/>
        <v>3.3555211224671816E-3</v>
      </c>
      <c r="D517" s="2">
        <f t="shared" si="66"/>
        <v>24.866303132295513</v>
      </c>
      <c r="E517" s="3">
        <f t="shared" si="71"/>
        <v>76.759345638131919</v>
      </c>
      <c r="F517" cm="1">
        <f t="array" aca="1" ref="F517" ca="1">INDEX($O$2:$O$34,INT(A517/$Z$1)+1)</f>
        <v>76.965608112121529</v>
      </c>
      <c r="G517" cm="1">
        <f t="array" aca="1" ref="G517" ca="1">INDEX($O$2:$O$34,INT(A517/$Z$1)+2)</f>
        <v>74.77066820864691</v>
      </c>
      <c r="H517">
        <f t="shared" ca="1" si="67"/>
        <v>-6.8591871983581854E-2</v>
      </c>
      <c r="I517">
        <f t="shared" ca="1" si="68"/>
        <v>-0.20577561595074556</v>
      </c>
      <c r="J517" s="3">
        <f t="shared" ca="1" si="69"/>
        <v>76.759832496170787</v>
      </c>
      <c r="K517" s="3">
        <f t="shared" ca="1" si="70"/>
        <v>-4.868580388688315E-4</v>
      </c>
      <c r="L517" s="3"/>
    </row>
    <row r="518" spans="1:12" x14ac:dyDescent="0.3">
      <c r="A518">
        <v>516</v>
      </c>
      <c r="B518" s="2">
        <f t="shared" si="64"/>
        <v>10177.514792899408</v>
      </c>
      <c r="C518" s="2">
        <f t="shared" si="65"/>
        <v>3.3559510529827773E-3</v>
      </c>
      <c r="D518" s="2">
        <f t="shared" si="66"/>
        <v>24.828124296895737</v>
      </c>
      <c r="E518" s="3">
        <f t="shared" si="71"/>
        <v>76.690623734412327</v>
      </c>
      <c r="F518" cm="1">
        <f t="array" aca="1" ref="F518" ca="1">INDEX($O$2:$O$34,INT(A518/$Z$1)+1)</f>
        <v>76.965608112121529</v>
      </c>
      <c r="G518" cm="1">
        <f t="array" aca="1" ref="G518" ca="1">INDEX($O$2:$O$34,INT(A518/$Z$1)+2)</f>
        <v>74.77066820864691</v>
      </c>
      <c r="H518">
        <f t="shared" ca="1" si="67"/>
        <v>-6.8591871983581854E-2</v>
      </c>
      <c r="I518">
        <f t="shared" ca="1" si="68"/>
        <v>-0.27436748793432741</v>
      </c>
      <c r="J518" s="3">
        <f t="shared" ca="1" si="69"/>
        <v>76.691240624187202</v>
      </c>
      <c r="K518" s="3">
        <f t="shared" ca="1" si="70"/>
        <v>-6.1688977487506236E-4</v>
      </c>
      <c r="L518" s="3"/>
    </row>
    <row r="519" spans="1:12" x14ac:dyDescent="0.3">
      <c r="A519">
        <v>517</v>
      </c>
      <c r="B519" s="2">
        <f t="shared" si="64"/>
        <v>10217.391304347826</v>
      </c>
      <c r="C519" s="2">
        <f t="shared" si="65"/>
        <v>3.3563809982891744E-3</v>
      </c>
      <c r="D519" s="2">
        <f t="shared" si="66"/>
        <v>24.789953929462513</v>
      </c>
      <c r="E519" s="3">
        <f t="shared" si="71"/>
        <v>76.62191707303252</v>
      </c>
      <c r="F519" cm="1">
        <f t="array" aca="1" ref="F519" ca="1">INDEX($O$2:$O$34,INT(A519/$Z$1)+1)</f>
        <v>76.965608112121529</v>
      </c>
      <c r="G519" cm="1">
        <f t="array" aca="1" ref="G519" ca="1">INDEX($O$2:$O$34,INT(A519/$Z$1)+2)</f>
        <v>74.77066820864691</v>
      </c>
      <c r="H519">
        <f t="shared" ca="1" si="67"/>
        <v>-6.8591871983581854E-2</v>
      </c>
      <c r="I519">
        <f t="shared" ca="1" si="68"/>
        <v>-0.34295935991790927</v>
      </c>
      <c r="J519" s="3">
        <f t="shared" ca="1" si="69"/>
        <v>76.622648752203617</v>
      </c>
      <c r="K519" s="3">
        <f t="shared" ca="1" si="70"/>
        <v>-7.3167917109628888E-4</v>
      </c>
      <c r="L519" s="3"/>
    </row>
    <row r="520" spans="1:12" x14ac:dyDescent="0.3">
      <c r="A520">
        <v>518</v>
      </c>
      <c r="B520" s="2">
        <f t="shared" si="64"/>
        <v>10257.425742574258</v>
      </c>
      <c r="C520" s="2">
        <f t="shared" si="65"/>
        <v>3.3568109616745989E-3</v>
      </c>
      <c r="D520" s="2">
        <f t="shared" si="66"/>
        <v>24.751791735431539</v>
      </c>
      <c r="E520" s="3">
        <f t="shared" si="71"/>
        <v>76.55322512377677</v>
      </c>
      <c r="F520" cm="1">
        <f t="array" aca="1" ref="F520" ca="1">INDEX($O$2:$O$34,INT(A520/$Z$1)+1)</f>
        <v>76.965608112121529</v>
      </c>
      <c r="G520" cm="1">
        <f t="array" aca="1" ref="G520" ca="1">INDEX($O$2:$O$34,INT(A520/$Z$1)+2)</f>
        <v>74.77066820864691</v>
      </c>
      <c r="H520">
        <f t="shared" ca="1" si="67"/>
        <v>-6.8591871983581854E-2</v>
      </c>
      <c r="I520">
        <f t="shared" ca="1" si="68"/>
        <v>-0.41155123190149112</v>
      </c>
      <c r="J520" s="3">
        <f t="shared" ca="1" si="69"/>
        <v>76.554056880220031</v>
      </c>
      <c r="K520" s="3">
        <f t="shared" ca="1" si="70"/>
        <v>-8.3175644326161091E-4</v>
      </c>
      <c r="L520" s="3"/>
    </row>
    <row r="521" spans="1:12" x14ac:dyDescent="0.3">
      <c r="A521">
        <v>519</v>
      </c>
      <c r="B521" s="2">
        <f t="shared" si="64"/>
        <v>10297.619047619048</v>
      </c>
      <c r="C521" s="2">
        <f t="shared" si="65"/>
        <v>3.3572409464281082E-3</v>
      </c>
      <c r="D521" s="2">
        <f t="shared" si="66"/>
        <v>24.713637420464806</v>
      </c>
      <c r="E521" s="3">
        <f t="shared" si="71"/>
        <v>76.484547356836657</v>
      </c>
      <c r="F521" cm="1">
        <f t="array" aca="1" ref="F521" ca="1">INDEX($O$2:$O$34,INT(A521/$Z$1)+1)</f>
        <v>76.965608112121529</v>
      </c>
      <c r="G521" cm="1">
        <f t="array" aca="1" ref="G521" ca="1">INDEX($O$2:$O$34,INT(A521/$Z$1)+2)</f>
        <v>74.77066820864691</v>
      </c>
      <c r="H521">
        <f t="shared" ca="1" si="67"/>
        <v>-6.8591871983581854E-2</v>
      </c>
      <c r="I521">
        <f t="shared" ca="1" si="68"/>
        <v>-0.48014310388507297</v>
      </c>
      <c r="J521" s="3">
        <f t="shared" ca="1" si="69"/>
        <v>76.48546500823646</v>
      </c>
      <c r="K521" s="3">
        <f t="shared" ca="1" si="70"/>
        <v>-9.1765139980282129E-4</v>
      </c>
      <c r="L521" s="3"/>
    </row>
    <row r="522" spans="1:12" x14ac:dyDescent="0.3">
      <c r="A522">
        <v>520</v>
      </c>
      <c r="B522" s="2">
        <f t="shared" si="64"/>
        <v>10337.972166998012</v>
      </c>
      <c r="C522" s="2">
        <f t="shared" si="65"/>
        <v>3.3576709558397382E-3</v>
      </c>
      <c r="D522" s="2">
        <f t="shared" si="66"/>
        <v>24.675490690437414</v>
      </c>
      <c r="E522" s="3">
        <f t="shared" si="71"/>
        <v>76.415883242787345</v>
      </c>
      <c r="F522" cm="1">
        <f t="array" aca="1" ref="F522" ca="1">INDEX($O$2:$O$34,INT(A522/$Z$1)+1)</f>
        <v>76.965608112121529</v>
      </c>
      <c r="G522" cm="1">
        <f t="array" aca="1" ref="G522" ca="1">INDEX($O$2:$O$34,INT(A522/$Z$1)+2)</f>
        <v>74.77066820864691</v>
      </c>
      <c r="H522">
        <f t="shared" ca="1" si="67"/>
        <v>-6.8591871983581854E-2</v>
      </c>
      <c r="I522">
        <f t="shared" ca="1" si="68"/>
        <v>-0.54873497586865483</v>
      </c>
      <c r="J522" s="3">
        <f t="shared" ca="1" si="69"/>
        <v>76.416873136252875</v>
      </c>
      <c r="K522" s="3">
        <f t="shared" ca="1" si="70"/>
        <v>-9.8989346552968982E-4</v>
      </c>
      <c r="L522" s="3"/>
    </row>
    <row r="523" spans="1:12" x14ac:dyDescent="0.3">
      <c r="A523">
        <v>521</v>
      </c>
      <c r="B523" s="2">
        <f t="shared" si="64"/>
        <v>10378.486055776892</v>
      </c>
      <c r="C523" s="2">
        <f t="shared" si="65"/>
        <v>3.3581009932006581E-3</v>
      </c>
      <c r="D523" s="2">
        <f t="shared" si="66"/>
        <v>24.637351251423979</v>
      </c>
      <c r="E523" s="3">
        <f t="shared" si="71"/>
        <v>76.34723225256316</v>
      </c>
      <c r="F523" cm="1">
        <f t="array" aca="1" ref="F523" ca="1">INDEX($O$2:$O$34,INT(A523/$Z$1)+1)</f>
        <v>76.965608112121529</v>
      </c>
      <c r="G523" cm="1">
        <f t="array" aca="1" ref="G523" ca="1">INDEX($O$2:$O$34,INT(A523/$Z$1)+2)</f>
        <v>74.77066820864691</v>
      </c>
      <c r="H523">
        <f t="shared" ca="1" si="67"/>
        <v>-6.8591871983581854E-2</v>
      </c>
      <c r="I523">
        <f t="shared" ca="1" si="68"/>
        <v>-0.61732684785223668</v>
      </c>
      <c r="J523" s="3">
        <f t="shared" ca="1" si="69"/>
        <v>76.348281264269289</v>
      </c>
      <c r="K523" s="3">
        <f t="shared" ca="1" si="70"/>
        <v>-1.0490117061294768E-3</v>
      </c>
      <c r="L523" s="3"/>
    </row>
    <row r="524" spans="1:12" x14ac:dyDescent="0.3">
      <c r="A524">
        <v>522</v>
      </c>
      <c r="B524" s="2">
        <f t="shared" si="64"/>
        <v>10419.161676646707</v>
      </c>
      <c r="C524" s="2">
        <f t="shared" si="65"/>
        <v>3.3585310618033191E-3</v>
      </c>
      <c r="D524" s="2">
        <f t="shared" si="66"/>
        <v>24.599218809684999</v>
      </c>
      <c r="E524" s="3">
        <f t="shared" si="71"/>
        <v>76.278593857432995</v>
      </c>
      <c r="F524" cm="1">
        <f t="array" aca="1" ref="F524" ca="1">INDEX($O$2:$O$34,INT(A524/$Z$1)+1)</f>
        <v>76.965608112121529</v>
      </c>
      <c r="G524" cm="1">
        <f t="array" aca="1" ref="G524" ca="1">INDEX($O$2:$O$34,INT(A524/$Z$1)+2)</f>
        <v>74.77066820864691</v>
      </c>
      <c r="H524">
        <f t="shared" ca="1" si="67"/>
        <v>-6.8591871983581854E-2</v>
      </c>
      <c r="I524">
        <f t="shared" ca="1" si="68"/>
        <v>-0.68591871983581854</v>
      </c>
      <c r="J524" s="3">
        <f t="shared" ca="1" si="69"/>
        <v>76.279689392285718</v>
      </c>
      <c r="K524" s="3">
        <f t="shared" ca="1" si="70"/>
        <v>-1.09553485272329E-3</v>
      </c>
      <c r="L524" s="3"/>
    </row>
    <row r="525" spans="1:12" x14ac:dyDescent="0.3">
      <c r="A525">
        <v>523</v>
      </c>
      <c r="B525" s="2">
        <f t="shared" si="64"/>
        <v>10460</v>
      </c>
      <c r="C525" s="2">
        <f t="shared" si="65"/>
        <v>3.3589611649416078E-3</v>
      </c>
      <c r="D525" s="2">
        <f t="shared" si="66"/>
        <v>24.561093071653318</v>
      </c>
      <c r="E525" s="3">
        <f t="shared" si="71"/>
        <v>76.209967528975966</v>
      </c>
      <c r="F525" cm="1">
        <f t="array" aca="1" ref="F525" ca="1">INDEX($O$2:$O$34,INT(A525/$Z$1)+1)</f>
        <v>76.965608112121529</v>
      </c>
      <c r="G525" cm="1">
        <f t="array" aca="1" ref="G525" ca="1">INDEX($O$2:$O$34,INT(A525/$Z$1)+2)</f>
        <v>74.77066820864691</v>
      </c>
      <c r="H525">
        <f t="shared" ca="1" si="67"/>
        <v>-6.8591871983581854E-2</v>
      </c>
      <c r="I525">
        <f t="shared" ca="1" si="68"/>
        <v>-0.75451059181940039</v>
      </c>
      <c r="J525" s="3">
        <f t="shared" ca="1" si="69"/>
        <v>76.211097520302133</v>
      </c>
      <c r="K525" s="3">
        <f t="shared" ca="1" si="70"/>
        <v>-1.1299913261666461E-3</v>
      </c>
      <c r="L525" s="3"/>
    </row>
    <row r="526" spans="1:12" x14ac:dyDescent="0.3">
      <c r="A526">
        <v>524</v>
      </c>
      <c r="B526" s="2">
        <f t="shared" si="64"/>
        <v>10501.002004008016</v>
      </c>
      <c r="C526" s="2">
        <f t="shared" si="65"/>
        <v>3.3593913059109955E-3</v>
      </c>
      <c r="D526" s="2">
        <f t="shared" si="66"/>
        <v>24.522973743920943</v>
      </c>
      <c r="E526" s="3">
        <f t="shared" si="71"/>
        <v>76.141352739057695</v>
      </c>
      <c r="F526" cm="1">
        <f t="array" aca="1" ref="F526" ca="1">INDEX($O$2:$O$34,INT(A526/$Z$1)+1)</f>
        <v>76.965608112121529</v>
      </c>
      <c r="G526" cm="1">
        <f t="array" aca="1" ref="G526" ca="1">INDEX($O$2:$O$34,INT(A526/$Z$1)+2)</f>
        <v>74.77066820864691</v>
      </c>
      <c r="H526">
        <f t="shared" ca="1" si="67"/>
        <v>-6.8591871983581854E-2</v>
      </c>
      <c r="I526">
        <f t="shared" ca="1" si="68"/>
        <v>-0.82310246380298224</v>
      </c>
      <c r="J526" s="3">
        <f t="shared" ca="1" si="69"/>
        <v>76.142505648318547</v>
      </c>
      <c r="K526" s="3">
        <f t="shared" ca="1" si="70"/>
        <v>-1.1529092608526526E-3</v>
      </c>
      <c r="L526" s="3"/>
    </row>
    <row r="527" spans="1:12" x14ac:dyDescent="0.3">
      <c r="A527">
        <v>525</v>
      </c>
      <c r="B527" s="2">
        <f t="shared" si="64"/>
        <v>10542.168674698794</v>
      </c>
      <c r="C527" s="2">
        <f t="shared" si="65"/>
        <v>3.3598214880086923E-3</v>
      </c>
      <c r="D527" s="2">
        <f t="shared" si="66"/>
        <v>24.484860533225117</v>
      </c>
      <c r="E527" s="3">
        <f t="shared" si="71"/>
        <v>76.07274895980521</v>
      </c>
      <c r="F527" cm="1">
        <f t="array" aca="1" ref="F527" ca="1">INDEX($O$2:$O$34,INT(A527/$Z$1)+1)</f>
        <v>76.965608112121529</v>
      </c>
      <c r="G527" cm="1">
        <f t="array" aca="1" ref="G527" ca="1">INDEX($O$2:$O$34,INT(A527/$Z$1)+2)</f>
        <v>74.77066820864691</v>
      </c>
      <c r="H527">
        <f t="shared" ca="1" si="67"/>
        <v>-6.8591871983581854E-2</v>
      </c>
      <c r="I527">
        <f t="shared" ca="1" si="68"/>
        <v>-0.8916943357865641</v>
      </c>
      <c r="J527" s="3">
        <f t="shared" ca="1" si="69"/>
        <v>76.073913776334962</v>
      </c>
      <c r="K527" s="3">
        <f t="shared" ca="1" si="70"/>
        <v>-1.1648165297515334E-3</v>
      </c>
      <c r="L527" s="3"/>
    </row>
    <row r="528" spans="1:12" x14ac:dyDescent="0.3">
      <c r="A528">
        <v>526</v>
      </c>
      <c r="B528" s="2">
        <f t="shared" si="64"/>
        <v>10583.501006036216</v>
      </c>
      <c r="C528" s="2">
        <f t="shared" si="65"/>
        <v>3.3602517145337979E-3</v>
      </c>
      <c r="D528" s="2">
        <f t="shared" si="66"/>
        <v>24.446753146435128</v>
      </c>
      <c r="E528" s="3">
        <f t="shared" si="71"/>
        <v>76.004155663583234</v>
      </c>
      <c r="F528" cm="1">
        <f t="array" aca="1" ref="F528" ca="1">INDEX($O$2:$O$34,INT(A528/$Z$1)+1)</f>
        <v>76.965608112121529</v>
      </c>
      <c r="G528" cm="1">
        <f t="array" aca="1" ref="G528" ca="1">INDEX($O$2:$O$34,INT(A528/$Z$1)+2)</f>
        <v>74.77066820864691</v>
      </c>
      <c r="H528">
        <f t="shared" ca="1" si="67"/>
        <v>-6.8591871983581854E-2</v>
      </c>
      <c r="I528">
        <f t="shared" ca="1" si="68"/>
        <v>-0.96028620777014595</v>
      </c>
      <c r="J528" s="3">
        <f t="shared" ca="1" si="69"/>
        <v>76.005321904351376</v>
      </c>
      <c r="K528" s="3">
        <f t="shared" ca="1" si="70"/>
        <v>-1.1662407681427567E-3</v>
      </c>
      <c r="L528" s="3"/>
    </row>
    <row r="529" spans="1:12" x14ac:dyDescent="0.3">
      <c r="A529">
        <v>527</v>
      </c>
      <c r="B529" s="2">
        <f t="shared" si="64"/>
        <v>10625</v>
      </c>
      <c r="C529" s="2">
        <f t="shared" si="65"/>
        <v>3.3606819887874542E-3</v>
      </c>
      <c r="D529" s="2">
        <f t="shared" si="66"/>
        <v>24.408651290538671</v>
      </c>
      <c r="E529" s="3">
        <f t="shared" si="71"/>
        <v>75.935572322969605</v>
      </c>
      <c r="F529" cm="1">
        <f t="array" aca="1" ref="F529" ca="1">INDEX($O$2:$O$34,INT(A529/$Z$1)+1)</f>
        <v>76.965608112121529</v>
      </c>
      <c r="G529" cm="1">
        <f t="array" aca="1" ref="G529" ca="1">INDEX($O$2:$O$34,INT(A529/$Z$1)+2)</f>
        <v>74.77066820864691</v>
      </c>
      <c r="H529">
        <f t="shared" ca="1" si="67"/>
        <v>-6.8591871983581854E-2</v>
      </c>
      <c r="I529">
        <f t="shared" ca="1" si="68"/>
        <v>-1.0288780797537278</v>
      </c>
      <c r="J529" s="3">
        <f t="shared" ca="1" si="69"/>
        <v>75.936730032367805</v>
      </c>
      <c r="K529" s="3">
        <f t="shared" ca="1" si="70"/>
        <v>-1.1577093981998132E-3</v>
      </c>
      <c r="L529" s="3"/>
    </row>
    <row r="530" spans="1:12" x14ac:dyDescent="0.3">
      <c r="A530">
        <v>528</v>
      </c>
      <c r="B530" s="2">
        <f t="shared" si="64"/>
        <v>10666.666666666666</v>
      </c>
      <c r="C530" s="2">
        <f t="shared" si="65"/>
        <v>3.3611123140729971E-3</v>
      </c>
      <c r="D530" s="2">
        <f t="shared" si="66"/>
        <v>24.370554672628543</v>
      </c>
      <c r="E530" s="3">
        <f t="shared" si="71"/>
        <v>75.866998410731384</v>
      </c>
      <c r="F530" cm="1">
        <f t="array" aca="1" ref="F530" ca="1">INDEX($O$2:$O$34,INT(A530/$Z$1)+1)</f>
        <v>76.965608112121529</v>
      </c>
      <c r="G530" cm="1">
        <f t="array" aca="1" ref="G530" ca="1">INDEX($O$2:$O$34,INT(A530/$Z$1)+2)</f>
        <v>74.77066820864691</v>
      </c>
      <c r="H530">
        <f t="shared" ca="1" si="67"/>
        <v>-6.8591871983581854E-2</v>
      </c>
      <c r="I530">
        <f t="shared" ca="1" si="68"/>
        <v>-1.0974699517373097</v>
      </c>
      <c r="J530" s="3">
        <f t="shared" ca="1" si="69"/>
        <v>75.86813816038422</v>
      </c>
      <c r="K530" s="3">
        <f t="shared" ca="1" si="70"/>
        <v>-1.1397496528360307E-3</v>
      </c>
      <c r="L530" s="3"/>
    </row>
    <row r="531" spans="1:12" x14ac:dyDescent="0.3">
      <c r="A531">
        <v>529</v>
      </c>
      <c r="B531" s="2">
        <f t="shared" si="64"/>
        <v>10708.502024291498</v>
      </c>
      <c r="C531" s="2">
        <f t="shared" si="65"/>
        <v>3.3615426936961096E-3</v>
      </c>
      <c r="D531" s="2">
        <f t="shared" si="66"/>
        <v>24.332462999889003</v>
      </c>
      <c r="E531" s="3">
        <f t="shared" si="71"/>
        <v>75.798433399800203</v>
      </c>
      <c r="F531" cm="1">
        <f t="array" aca="1" ref="F531" ca="1">INDEX($O$2:$O$34,INT(A531/$Z$1)+1)</f>
        <v>76.965608112121529</v>
      </c>
      <c r="G531" cm="1">
        <f t="array" aca="1" ref="G531" ca="1">INDEX($O$2:$O$34,INT(A531/$Z$1)+2)</f>
        <v>74.77066820864691</v>
      </c>
      <c r="H531">
        <f t="shared" ca="1" si="67"/>
        <v>-6.8591871983581854E-2</v>
      </c>
      <c r="I531">
        <f t="shared" ca="1" si="68"/>
        <v>-1.1660618237208915</v>
      </c>
      <c r="J531" s="3">
        <f t="shared" ca="1" si="69"/>
        <v>75.799546288400634</v>
      </c>
      <c r="K531" s="3">
        <f t="shared" ca="1" si="70"/>
        <v>-1.1128886004314609E-3</v>
      </c>
      <c r="L531" s="3"/>
    </row>
    <row r="532" spans="1:12" x14ac:dyDescent="0.3">
      <c r="A532">
        <v>530</v>
      </c>
      <c r="B532" s="2">
        <f t="shared" si="64"/>
        <v>10750.507099391481</v>
      </c>
      <c r="C532" s="2">
        <f t="shared" si="65"/>
        <v>3.3619731309649757E-3</v>
      </c>
      <c r="D532" s="2">
        <f t="shared" si="66"/>
        <v>24.294375979582412</v>
      </c>
      <c r="E532" s="3">
        <f t="shared" si="71"/>
        <v>75.729876763248342</v>
      </c>
      <c r="F532" cm="1">
        <f t="array" aca="1" ref="F532" ca="1">INDEX($O$2:$O$34,INT(A532/$Z$1)+1)</f>
        <v>76.965608112121529</v>
      </c>
      <c r="G532" cm="1">
        <f t="array" aca="1" ref="G532" ca="1">INDEX($O$2:$O$34,INT(A532/$Z$1)+2)</f>
        <v>74.77066820864691</v>
      </c>
      <c r="H532">
        <f t="shared" ca="1" si="67"/>
        <v>-6.8591871983581854E-2</v>
      </c>
      <c r="I532">
        <f t="shared" ca="1" si="68"/>
        <v>-1.2346536957044734</v>
      </c>
      <c r="J532" s="3">
        <f t="shared" ca="1" si="69"/>
        <v>75.730954416417063</v>
      </c>
      <c r="K532" s="3">
        <f t="shared" ca="1" si="70"/>
        <v>-1.0776531687213264E-3</v>
      </c>
      <c r="L532" s="3"/>
    </row>
    <row r="533" spans="1:12" x14ac:dyDescent="0.3">
      <c r="A533">
        <v>531</v>
      </c>
      <c r="B533" s="2">
        <f t="shared" si="64"/>
        <v>10792.682926829268</v>
      </c>
      <c r="C533" s="2">
        <f t="shared" si="65"/>
        <v>3.3624036291904314E-3</v>
      </c>
      <c r="D533" s="2">
        <f t="shared" si="66"/>
        <v>24.256293319035819</v>
      </c>
      <c r="E533" s="3">
        <f t="shared" si="71"/>
        <v>75.661327974264481</v>
      </c>
      <c r="F533" cm="1">
        <f t="array" aca="1" ref="F533" ca="1">INDEX($O$2:$O$34,INT(A533/$Z$1)+1)</f>
        <v>76.965608112121529</v>
      </c>
      <c r="G533" cm="1">
        <f t="array" aca="1" ref="G533" ca="1">INDEX($O$2:$O$34,INT(A533/$Z$1)+2)</f>
        <v>74.77066820864691</v>
      </c>
      <c r="H533">
        <f t="shared" ca="1" si="67"/>
        <v>-6.8591871983581854E-2</v>
      </c>
      <c r="I533">
        <f t="shared" ca="1" si="68"/>
        <v>-1.3032455676880552</v>
      </c>
      <c r="J533" s="3">
        <f t="shared" ca="1" si="69"/>
        <v>75.662362544433478</v>
      </c>
      <c r="K533" s="3">
        <f t="shared" ca="1" si="70"/>
        <v>-1.0345701689971065E-3</v>
      </c>
      <c r="L533" s="3"/>
    </row>
    <row r="534" spans="1:12" x14ac:dyDescent="0.3">
      <c r="A534">
        <v>532</v>
      </c>
      <c r="B534" s="2">
        <f t="shared" si="64"/>
        <v>10835.030549898167</v>
      </c>
      <c r="C534" s="2">
        <f t="shared" si="65"/>
        <v>3.36283419168612E-3</v>
      </c>
      <c r="D534" s="2">
        <f t="shared" si="66"/>
        <v>24.21821472562749</v>
      </c>
      <c r="E534" s="3">
        <f t="shared" si="71"/>
        <v>75.592786506129485</v>
      </c>
      <c r="F534" cm="1">
        <f t="array" aca="1" ref="F534" ca="1">INDEX($O$2:$O$34,INT(A534/$Z$1)+1)</f>
        <v>76.965608112121529</v>
      </c>
      <c r="G534" cm="1">
        <f t="array" aca="1" ref="G534" ca="1">INDEX($O$2:$O$34,INT(A534/$Z$1)+2)</f>
        <v>74.77066820864691</v>
      </c>
      <c r="H534">
        <f t="shared" ca="1" si="67"/>
        <v>-6.8591871983581854E-2</v>
      </c>
      <c r="I534">
        <f t="shared" ca="1" si="68"/>
        <v>-1.3718374396716371</v>
      </c>
      <c r="J534" s="3">
        <f t="shared" ca="1" si="69"/>
        <v>75.593770672449892</v>
      </c>
      <c r="K534" s="3">
        <f t="shared" ca="1" si="70"/>
        <v>-9.8416632040709828E-4</v>
      </c>
      <c r="L534" s="3"/>
    </row>
    <row r="535" spans="1:12" x14ac:dyDescent="0.3">
      <c r="A535">
        <v>533</v>
      </c>
      <c r="B535" s="2">
        <f t="shared" si="64"/>
        <v>10877.551020408164</v>
      </c>
      <c r="C535" s="2">
        <f t="shared" si="65"/>
        <v>3.3632648217686465E-3</v>
      </c>
      <c r="D535" s="2">
        <f t="shared" si="66"/>
        <v>24.18013990677315</v>
      </c>
      <c r="E535" s="3">
        <f t="shared" si="71"/>
        <v>75.524251832191666</v>
      </c>
      <c r="F535" cm="1">
        <f t="array" aca="1" ref="F535" ca="1">INDEX($O$2:$O$34,INT(A535/$Z$1)+1)</f>
        <v>76.965608112121529</v>
      </c>
      <c r="G535" cm="1">
        <f t="array" aca="1" ref="G535" ca="1">INDEX($O$2:$O$34,INT(A535/$Z$1)+2)</f>
        <v>74.77066820864691</v>
      </c>
      <c r="H535">
        <f t="shared" ca="1" si="67"/>
        <v>-6.8591871983581854E-2</v>
      </c>
      <c r="I535">
        <f t="shared" ca="1" si="68"/>
        <v>-1.4404293116552189</v>
      </c>
      <c r="J535" s="3">
        <f t="shared" ca="1" si="69"/>
        <v>75.525178800466307</v>
      </c>
      <c r="K535" s="3">
        <f t="shared" ca="1" si="70"/>
        <v>-9.2696827464067155E-4</v>
      </c>
      <c r="L535" s="3"/>
    </row>
    <row r="536" spans="1:12" x14ac:dyDescent="0.3">
      <c r="A536">
        <v>534</v>
      </c>
      <c r="B536" s="2">
        <f t="shared" si="64"/>
        <v>10920.245398773006</v>
      </c>
      <c r="C536" s="2">
        <f t="shared" si="65"/>
        <v>3.3636955227577293E-3</v>
      </c>
      <c r="D536" s="2">
        <f t="shared" si="66"/>
        <v>24.142068569912965</v>
      </c>
      <c r="E536" s="3">
        <f t="shared" si="71"/>
        <v>75.455723425843331</v>
      </c>
      <c r="F536" cm="1">
        <f t="array" aca="1" ref="F536" ca="1">INDEX($O$2:$O$34,INT(A536/$Z$1)+1)</f>
        <v>76.965608112121529</v>
      </c>
      <c r="G536" cm="1">
        <f t="array" aca="1" ref="G536" ca="1">INDEX($O$2:$O$34,INT(A536/$Z$1)+2)</f>
        <v>74.77066820864691</v>
      </c>
      <c r="H536">
        <f t="shared" ca="1" si="67"/>
        <v>-6.8591871983581854E-2</v>
      </c>
      <c r="I536">
        <f t="shared" ca="1" si="68"/>
        <v>-1.5090211836388008</v>
      </c>
      <c r="J536" s="3">
        <f t="shared" ca="1" si="69"/>
        <v>75.456586928482722</v>
      </c>
      <c r="K536" s="3">
        <f t="shared" ca="1" si="70"/>
        <v>-8.6350263939038996E-4</v>
      </c>
      <c r="L536" s="3"/>
    </row>
    <row r="537" spans="1:12" x14ac:dyDescent="0.3">
      <c r="A537">
        <v>535</v>
      </c>
      <c r="B537" s="2">
        <f t="shared" si="64"/>
        <v>10963.11475409836</v>
      </c>
      <c r="C537" s="2">
        <f t="shared" si="65"/>
        <v>3.3641262979763574E-3</v>
      </c>
      <c r="D537" s="2">
        <f t="shared" si="66"/>
        <v>24.104000422497791</v>
      </c>
      <c r="E537" s="3">
        <f t="shared" si="71"/>
        <v>75.387200760496029</v>
      </c>
      <c r="F537" cm="1">
        <f t="array" aca="1" ref="F537" ca="1">INDEX($O$2:$O$34,INT(A537/$Z$1)+1)</f>
        <v>76.965608112121529</v>
      </c>
      <c r="G537" cm="1">
        <f t="array" aca="1" ref="G537" ca="1">INDEX($O$2:$O$34,INT(A537/$Z$1)+2)</f>
        <v>74.77066820864691</v>
      </c>
      <c r="H537">
        <f t="shared" ca="1" si="67"/>
        <v>-6.8591871983581854E-2</v>
      </c>
      <c r="I537">
        <f t="shared" ca="1" si="68"/>
        <v>-1.5776130556223826</v>
      </c>
      <c r="J537" s="3">
        <f t="shared" ca="1" si="69"/>
        <v>75.38799505649915</v>
      </c>
      <c r="K537" s="3">
        <f t="shared" ca="1" si="70"/>
        <v>-7.942960031215307E-4</v>
      </c>
      <c r="L537" s="3"/>
    </row>
    <row r="538" spans="1:12" x14ac:dyDescent="0.3">
      <c r="A538">
        <v>536</v>
      </c>
      <c r="B538" s="2">
        <f t="shared" si="64"/>
        <v>11006.160164271047</v>
      </c>
      <c r="C538" s="2">
        <f t="shared" si="65"/>
        <v>3.3645571507509445E-3</v>
      </c>
      <c r="D538" s="2">
        <f t="shared" si="66"/>
        <v>24.065935171975752</v>
      </c>
      <c r="E538" s="3">
        <f t="shared" si="71"/>
        <v>75.318683309556349</v>
      </c>
      <c r="F538" cm="1">
        <f t="array" aca="1" ref="F538" ca="1">INDEX($O$2:$O$34,INT(A538/$Z$1)+1)</f>
        <v>76.965608112121529</v>
      </c>
      <c r="G538" cm="1">
        <f t="array" aca="1" ref="G538" ca="1">INDEX($O$2:$O$34,INT(A538/$Z$1)+2)</f>
        <v>74.77066820864691</v>
      </c>
      <c r="H538">
        <f t="shared" ca="1" si="67"/>
        <v>-6.8591871983581854E-2</v>
      </c>
      <c r="I538">
        <f t="shared" ca="1" si="68"/>
        <v>-1.6462049276059645</v>
      </c>
      <c r="J538" s="3">
        <f t="shared" ca="1" si="69"/>
        <v>75.319403184515565</v>
      </c>
      <c r="K538" s="3">
        <f t="shared" ca="1" si="70"/>
        <v>-7.1987495921632672E-4</v>
      </c>
      <c r="L538" s="3"/>
    </row>
    <row r="539" spans="1:12" x14ac:dyDescent="0.3">
      <c r="A539">
        <v>537</v>
      </c>
      <c r="B539" s="2">
        <f t="shared" si="64"/>
        <v>11049.382716049382</v>
      </c>
      <c r="C539" s="2">
        <f t="shared" si="65"/>
        <v>3.3649880844114828E-3</v>
      </c>
      <c r="D539" s="2">
        <f t="shared" si="66"/>
        <v>24.027872525778776</v>
      </c>
      <c r="E539" s="3">
        <f t="shared" si="71"/>
        <v>75.25017054640179</v>
      </c>
      <c r="F539" cm="1">
        <f t="array" aca="1" ref="F539" ca="1">INDEX($O$2:$O$34,INT(A539/$Z$1)+1)</f>
        <v>76.965608112121529</v>
      </c>
      <c r="G539" cm="1">
        <f t="array" aca="1" ref="G539" ca="1">INDEX($O$2:$O$34,INT(A539/$Z$1)+2)</f>
        <v>74.77066820864691</v>
      </c>
      <c r="H539">
        <f t="shared" ca="1" si="67"/>
        <v>-6.8591871983581854E-2</v>
      </c>
      <c r="I539">
        <f t="shared" ca="1" si="68"/>
        <v>-1.7147967995895463</v>
      </c>
      <c r="J539" s="3">
        <f t="shared" ca="1" si="69"/>
        <v>75.25081131253198</v>
      </c>
      <c r="K539" s="3">
        <f t="shared" ca="1" si="70"/>
        <v>-6.4076613018926309E-4</v>
      </c>
      <c r="L539" s="3"/>
    </row>
    <row r="540" spans="1:12" x14ac:dyDescent="0.3">
      <c r="A540">
        <v>538</v>
      </c>
      <c r="B540" s="2">
        <f t="shared" si="64"/>
        <v>11092.783505154639</v>
      </c>
      <c r="C540" s="2">
        <f t="shared" si="65"/>
        <v>3.3654191022917013E-3</v>
      </c>
      <c r="D540" s="2">
        <f t="shared" si="66"/>
        <v>23.989812191309056</v>
      </c>
      <c r="E540" s="3">
        <f t="shared" si="71"/>
        <v>75.181661944356307</v>
      </c>
      <c r="F540" cm="1">
        <f t="array" aca="1" ref="F540" ca="1">INDEX($O$2:$O$34,INT(A540/$Z$1)+1)</f>
        <v>76.965608112121529</v>
      </c>
      <c r="G540" cm="1">
        <f t="array" aca="1" ref="G540" ca="1">INDEX($O$2:$O$34,INT(A540/$Z$1)+2)</f>
        <v>74.77066820864691</v>
      </c>
      <c r="H540">
        <f t="shared" ca="1" si="67"/>
        <v>-6.8591871983581854E-2</v>
      </c>
      <c r="I540">
        <f t="shared" ca="1" si="68"/>
        <v>-1.7833886715731282</v>
      </c>
      <c r="J540" s="3">
        <f t="shared" ca="1" si="69"/>
        <v>75.182219440548408</v>
      </c>
      <c r="K540" s="3">
        <f t="shared" ca="1" si="70"/>
        <v>-5.5749619210132551E-4</v>
      </c>
      <c r="L540" s="3"/>
    </row>
    <row r="541" spans="1:12" x14ac:dyDescent="0.3">
      <c r="A541">
        <v>539</v>
      </c>
      <c r="B541" s="2">
        <f t="shared" si="64"/>
        <v>11136.363636363636</v>
      </c>
      <c r="C541" s="2">
        <f t="shared" si="65"/>
        <v>3.3658502077292206E-3</v>
      </c>
      <c r="D541" s="2">
        <f t="shared" si="66"/>
        <v>23.951753875925647</v>
      </c>
      <c r="E541" s="3">
        <f t="shared" si="71"/>
        <v>75.113156976666161</v>
      </c>
      <c r="F541" cm="1">
        <f t="array" aca="1" ref="F541" ca="1">INDEX($O$2:$O$34,INT(A541/$Z$1)+1)</f>
        <v>76.965608112121529</v>
      </c>
      <c r="G541" cm="1">
        <f t="array" aca="1" ref="G541" ca="1">INDEX($O$2:$O$34,INT(A541/$Z$1)+2)</f>
        <v>74.77066820864691</v>
      </c>
      <c r="H541">
        <f t="shared" ca="1" si="67"/>
        <v>-6.8591871983581854E-2</v>
      </c>
      <c r="I541">
        <f t="shared" ca="1" si="68"/>
        <v>-1.85198054355671</v>
      </c>
      <c r="J541" s="3">
        <f t="shared" ca="1" si="69"/>
        <v>75.113627568564823</v>
      </c>
      <c r="K541" s="3">
        <f t="shared" ca="1" si="70"/>
        <v>-4.7059189866160978E-4</v>
      </c>
      <c r="L541" s="3"/>
    </row>
    <row r="542" spans="1:12" x14ac:dyDescent="0.3">
      <c r="A542">
        <v>540</v>
      </c>
      <c r="B542" s="2">
        <f t="shared" si="64"/>
        <v>11180.124223602485</v>
      </c>
      <c r="C542" s="2">
        <f t="shared" si="65"/>
        <v>3.3662814040657093E-3</v>
      </c>
      <c r="D542" s="2">
        <f t="shared" si="66"/>
        <v>23.913697286930756</v>
      </c>
      <c r="E542" s="3">
        <f t="shared" si="71"/>
        <v>75.044655116475354</v>
      </c>
      <c r="F542" cm="1">
        <f t="array" aca="1" ref="F542" ca="1">INDEX($O$2:$O$34,INT(A542/$Z$1)+1)</f>
        <v>76.965608112121529</v>
      </c>
      <c r="G542" cm="1">
        <f t="array" aca="1" ref="G542" ca="1">INDEX($O$2:$O$34,INT(A542/$Z$1)+2)</f>
        <v>74.77066820864691</v>
      </c>
      <c r="H542">
        <f t="shared" ca="1" si="67"/>
        <v>-6.8591871983581854E-2</v>
      </c>
      <c r="I542">
        <f t="shared" ca="1" si="68"/>
        <v>-1.9205724155402919</v>
      </c>
      <c r="J542" s="3">
        <f t="shared" ca="1" si="69"/>
        <v>75.045035696581238</v>
      </c>
      <c r="K542" s="3">
        <f t="shared" ca="1" si="70"/>
        <v>-3.8058010588315483E-4</v>
      </c>
      <c r="L542" s="3"/>
    </row>
    <row r="543" spans="1:12" x14ac:dyDescent="0.3">
      <c r="A543">
        <v>541</v>
      </c>
      <c r="B543" s="2">
        <f t="shared" si="64"/>
        <v>11224.066390041493</v>
      </c>
      <c r="C543" s="2">
        <f t="shared" si="65"/>
        <v>3.3667126946470417E-3</v>
      </c>
      <c r="D543" s="2">
        <f t="shared" si="66"/>
        <v>23.87564213155639</v>
      </c>
      <c r="E543" s="3">
        <f t="shared" si="71"/>
        <v>74.976155836801496</v>
      </c>
      <c r="F543" cm="1">
        <f t="array" aca="1" ref="F543" ca="1">INDEX($O$2:$O$34,INT(A543/$Z$1)+1)</f>
        <v>76.965608112121529</v>
      </c>
      <c r="G543" cm="1">
        <f t="array" aca="1" ref="G543" ca="1">INDEX($O$2:$O$34,INT(A543/$Z$1)+2)</f>
        <v>74.77066820864691</v>
      </c>
      <c r="H543">
        <f t="shared" ca="1" si="67"/>
        <v>-6.8591871983581854E-2</v>
      </c>
      <c r="I543">
        <f t="shared" ca="1" si="68"/>
        <v>-1.9891642875238738</v>
      </c>
      <c r="J543" s="3">
        <f t="shared" ca="1" si="69"/>
        <v>74.976443824597652</v>
      </c>
      <c r="K543" s="3">
        <f t="shared" ca="1" si="70"/>
        <v>-2.8798779615613057E-4</v>
      </c>
      <c r="L543" s="3"/>
    </row>
    <row r="544" spans="1:12" x14ac:dyDescent="0.3">
      <c r="A544">
        <v>542</v>
      </c>
      <c r="B544" s="2">
        <f t="shared" si="64"/>
        <v>11268.191268191269</v>
      </c>
      <c r="C544" s="2">
        <f t="shared" si="65"/>
        <v>3.3671440828234559E-3</v>
      </c>
      <c r="D544" s="2">
        <f t="shared" si="66"/>
        <v>23.837588116950656</v>
      </c>
      <c r="E544" s="3">
        <f t="shared" si="71"/>
        <v>74.907658610511177</v>
      </c>
      <c r="F544" cm="1">
        <f t="array" aca="1" ref="F544" ca="1">INDEX($O$2:$O$34,INT(A544/$Z$1)+1)</f>
        <v>76.965608112121529</v>
      </c>
      <c r="G544" cm="1">
        <f t="array" aca="1" ref="G544" ca="1">INDEX($O$2:$O$34,INT(A544/$Z$1)+2)</f>
        <v>74.77066820864691</v>
      </c>
      <c r="H544">
        <f t="shared" ca="1" si="67"/>
        <v>-6.8591871983581854E-2</v>
      </c>
      <c r="I544">
        <f t="shared" ca="1" si="68"/>
        <v>-2.0577561595074556</v>
      </c>
      <c r="J544" s="3">
        <f t="shared" ca="1" si="69"/>
        <v>74.907851952614067</v>
      </c>
      <c r="K544" s="3">
        <f t="shared" ca="1" si="70"/>
        <v>-1.9334210288945997E-4</v>
      </c>
      <c r="L544" s="3"/>
    </row>
    <row r="545" spans="1:12" x14ac:dyDescent="0.3">
      <c r="A545">
        <v>543</v>
      </c>
      <c r="B545" s="2">
        <f t="shared" si="64"/>
        <v>11312.5</v>
      </c>
      <c r="C545" s="2">
        <f t="shared" si="65"/>
        <v>3.3675755719497101E-3</v>
      </c>
      <c r="D545" s="2">
        <f t="shared" si="66"/>
        <v>23.799534950164343</v>
      </c>
      <c r="E545" s="3">
        <f t="shared" si="71"/>
        <v>74.839162910295812</v>
      </c>
      <c r="F545" cm="1">
        <f t="array" aca="1" ref="F545" ca="1">INDEX($O$2:$O$34,INT(A545/$Z$1)+1)</f>
        <v>76.965608112121529</v>
      </c>
      <c r="G545" cm="1">
        <f t="array" aca="1" ref="G545" ca="1">INDEX($O$2:$O$34,INT(A545/$Z$1)+2)</f>
        <v>74.77066820864691</v>
      </c>
      <c r="H545">
        <f t="shared" ca="1" si="67"/>
        <v>-6.8591871983581854E-2</v>
      </c>
      <c r="I545">
        <f t="shared" ca="1" si="68"/>
        <v>-2.1263480314910375</v>
      </c>
      <c r="J545" s="3">
        <f t="shared" ca="1" si="69"/>
        <v>74.839260080630496</v>
      </c>
      <c r="K545" s="3">
        <f t="shared" ca="1" si="70"/>
        <v>-9.7170334683482906E-5</v>
      </c>
      <c r="L545" s="3"/>
    </row>
    <row r="546" spans="1:12" x14ac:dyDescent="0.3">
      <c r="A546">
        <v>544</v>
      </c>
      <c r="B546" s="2">
        <f t="shared" si="64"/>
        <v>11356.993736951983</v>
      </c>
      <c r="C546" s="2">
        <f t="shared" si="65"/>
        <v>3.3680071653852434E-3</v>
      </c>
      <c r="D546" s="2">
        <f t="shared" si="66"/>
        <v>23.761482338137171</v>
      </c>
      <c r="E546" s="3">
        <f t="shared" si="71"/>
        <v>74.77066820864691</v>
      </c>
      <c r="F546" cm="1">
        <f t="array" aca="1" ref="F546" ca="1">INDEX($O$2:$O$34,INT(A546/$Z$1)+1)</f>
        <v>74.77066820864691</v>
      </c>
      <c r="G546" cm="1">
        <f t="array" aca="1" ref="G546" ca="1">INDEX($O$2:$O$34,INT(A546/$Z$1)+2)</f>
        <v>72.576188587143719</v>
      </c>
      <c r="H546">
        <f t="shared" ca="1" si="67"/>
        <v>-6.8577488171974732E-2</v>
      </c>
      <c r="I546">
        <f t="shared" ca="1" si="68"/>
        <v>0</v>
      </c>
      <c r="J546" s="3">
        <f t="shared" ca="1" si="69"/>
        <v>74.77066820864691</v>
      </c>
      <c r="K546" s="3">
        <f t="shared" ca="1" si="70"/>
        <v>0</v>
      </c>
      <c r="L546" s="3"/>
    </row>
    <row r="547" spans="1:12" x14ac:dyDescent="0.3">
      <c r="A547">
        <v>545</v>
      </c>
      <c r="B547" s="2">
        <f t="shared" si="64"/>
        <v>11401.673640167364</v>
      </c>
      <c r="C547" s="2">
        <f t="shared" si="65"/>
        <v>3.3684388664943338E-3</v>
      </c>
      <c r="D547" s="2">
        <f t="shared" si="66"/>
        <v>23.723429987684256</v>
      </c>
      <c r="E547" s="3">
        <f t="shared" si="71"/>
        <v>74.702173977831663</v>
      </c>
      <c r="F547" cm="1">
        <f t="array" aca="1" ref="F547" ca="1">INDEX($O$2:$O$34,INT(A547/$Z$1)+1)</f>
        <v>74.77066820864691</v>
      </c>
      <c r="G547" cm="1">
        <f t="array" aca="1" ref="G547" ca="1">INDEX($O$2:$O$34,INT(A547/$Z$1)+2)</f>
        <v>72.576188587143719</v>
      </c>
      <c r="H547">
        <f t="shared" ca="1" si="67"/>
        <v>-6.8577488171974732E-2</v>
      </c>
      <c r="I547">
        <f t="shared" ca="1" si="68"/>
        <v>-6.8577488171974732E-2</v>
      </c>
      <c r="J547" s="3">
        <f t="shared" ca="1" si="69"/>
        <v>74.702090720474942</v>
      </c>
      <c r="K547" s="3">
        <f t="shared" ca="1" si="70"/>
        <v>8.3257356720878306E-5</v>
      </c>
      <c r="L547" s="3"/>
    </row>
    <row r="548" spans="1:12" x14ac:dyDescent="0.3">
      <c r="A548">
        <v>546</v>
      </c>
      <c r="B548" s="2">
        <f t="shared" si="64"/>
        <v>11446.540880503144</v>
      </c>
      <c r="C548" s="2">
        <f t="shared" si="65"/>
        <v>3.3688706786462576E-3</v>
      </c>
      <c r="D548" s="2">
        <f t="shared" si="66"/>
        <v>23.685377605482529</v>
      </c>
      <c r="E548" s="3">
        <f t="shared" si="71"/>
        <v>74.633679689868558</v>
      </c>
      <c r="F548" cm="1">
        <f t="array" aca="1" ref="F548" ca="1">INDEX($O$2:$O$34,INT(A548/$Z$1)+1)</f>
        <v>74.77066820864691</v>
      </c>
      <c r="G548" cm="1">
        <f t="array" aca="1" ref="G548" ca="1">INDEX($O$2:$O$34,INT(A548/$Z$1)+2)</f>
        <v>72.576188587143719</v>
      </c>
      <c r="H548">
        <f t="shared" ca="1" si="67"/>
        <v>-6.8577488171974732E-2</v>
      </c>
      <c r="I548">
        <f t="shared" ca="1" si="68"/>
        <v>-0.13715497634394946</v>
      </c>
      <c r="J548" s="3">
        <f t="shared" ca="1" si="69"/>
        <v>74.63351323230296</v>
      </c>
      <c r="K548" s="3">
        <f t="shared" ca="1" si="70"/>
        <v>1.664575655979661E-4</v>
      </c>
      <c r="L548" s="3"/>
    </row>
    <row r="549" spans="1:12" x14ac:dyDescent="0.3">
      <c r="A549">
        <v>547</v>
      </c>
      <c r="B549" s="2">
        <f t="shared" si="64"/>
        <v>11491.596638655463</v>
      </c>
      <c r="C549" s="2">
        <f t="shared" si="65"/>
        <v>3.3693026052154513E-3</v>
      </c>
      <c r="D549" s="2">
        <f t="shared" si="66"/>
        <v>23.647324898056979</v>
      </c>
      <c r="E549" s="3">
        <f t="shared" si="71"/>
        <v>74.565184816502565</v>
      </c>
      <c r="F549" cm="1">
        <f t="array" aca="1" ref="F549" ca="1">INDEX($O$2:$O$34,INT(A549/$Z$1)+1)</f>
        <v>74.77066820864691</v>
      </c>
      <c r="G549" cm="1">
        <f t="array" aca="1" ref="G549" ca="1">INDEX($O$2:$O$34,INT(A549/$Z$1)+2)</f>
        <v>72.576188587143719</v>
      </c>
      <c r="H549">
        <f t="shared" ca="1" si="67"/>
        <v>-6.8577488171974732E-2</v>
      </c>
      <c r="I549">
        <f t="shared" ca="1" si="68"/>
        <v>-0.2057324645159242</v>
      </c>
      <c r="J549" s="3">
        <f t="shared" ca="1" si="69"/>
        <v>74.564935744130992</v>
      </c>
      <c r="K549" s="3">
        <f t="shared" ca="1" si="70"/>
        <v>2.4907237157378859E-4</v>
      </c>
      <c r="L549" s="3"/>
    </row>
    <row r="550" spans="1:12" x14ac:dyDescent="0.3">
      <c r="A550">
        <v>548</v>
      </c>
      <c r="B550" s="2">
        <f t="shared" si="64"/>
        <v>11536.842105263158</v>
      </c>
      <c r="C550" s="2">
        <f t="shared" si="65"/>
        <v>3.3697346495816702E-3</v>
      </c>
      <c r="D550" s="2">
        <f t="shared" si="66"/>
        <v>23.60927157176701</v>
      </c>
      <c r="E550" s="3">
        <f t="shared" si="71"/>
        <v>74.496688829180613</v>
      </c>
      <c r="F550" cm="1">
        <f t="array" aca="1" ref="F550" ca="1">INDEX($O$2:$O$34,INT(A550/$Z$1)+1)</f>
        <v>74.77066820864691</v>
      </c>
      <c r="G550" cm="1">
        <f t="array" aca="1" ref="G550" ca="1">INDEX($O$2:$O$34,INT(A550/$Z$1)+2)</f>
        <v>72.576188587143719</v>
      </c>
      <c r="H550">
        <f t="shared" ca="1" si="67"/>
        <v>-6.8577488171974732E-2</v>
      </c>
      <c r="I550">
        <f t="shared" ca="1" si="68"/>
        <v>-0.27430995268789893</v>
      </c>
      <c r="J550" s="3">
        <f t="shared" ca="1" si="69"/>
        <v>74.496358255959009</v>
      </c>
      <c r="K550" s="3">
        <f t="shared" ca="1" si="70"/>
        <v>3.3057322160345848E-4</v>
      </c>
      <c r="L550" s="3"/>
    </row>
    <row r="551" spans="1:12" x14ac:dyDescent="0.3">
      <c r="A551">
        <v>549</v>
      </c>
      <c r="B551" s="2">
        <f t="shared" si="64"/>
        <v>11582.278481012658</v>
      </c>
      <c r="C551" s="2">
        <f t="shared" si="65"/>
        <v>3.3701668151301521E-3</v>
      </c>
      <c r="D551" s="2">
        <f t="shared" si="66"/>
        <v>23.571217332792799</v>
      </c>
      <c r="E551" s="3">
        <f t="shared" si="71"/>
        <v>74.42819119902704</v>
      </c>
      <c r="F551" cm="1">
        <f t="array" aca="1" ref="F551" ca="1">INDEX($O$2:$O$34,INT(A551/$Z$1)+1)</f>
        <v>74.77066820864691</v>
      </c>
      <c r="G551" cm="1">
        <f t="array" aca="1" ref="G551" ca="1">INDEX($O$2:$O$34,INT(A551/$Z$1)+2)</f>
        <v>72.576188587143719</v>
      </c>
      <c r="H551">
        <f t="shared" ca="1" si="67"/>
        <v>-6.8577488171974732E-2</v>
      </c>
      <c r="I551">
        <f t="shared" ca="1" si="68"/>
        <v>-0.34288744085987366</v>
      </c>
      <c r="J551" s="3">
        <f t="shared" ca="1" si="69"/>
        <v>74.427780767787041</v>
      </c>
      <c r="K551" s="3">
        <f t="shared" ca="1" si="70"/>
        <v>4.1043123999884301E-4</v>
      </c>
      <c r="L551" s="3"/>
    </row>
    <row r="552" spans="1:12" x14ac:dyDescent="0.3">
      <c r="A552">
        <v>550</v>
      </c>
      <c r="B552" s="2">
        <f t="shared" si="64"/>
        <v>11627.906976744185</v>
      </c>
      <c r="C552" s="2">
        <f t="shared" si="65"/>
        <v>3.3705991052517788E-3</v>
      </c>
      <c r="D552" s="2">
        <f t="shared" si="66"/>
        <v>23.533161887121423</v>
      </c>
      <c r="E552" s="3">
        <f t="shared" si="71"/>
        <v>74.359691396818562</v>
      </c>
      <c r="F552" cm="1">
        <f t="array" aca="1" ref="F552" ca="1">INDEX($O$2:$O$34,INT(A552/$Z$1)+1)</f>
        <v>74.77066820864691</v>
      </c>
      <c r="G552" cm="1">
        <f t="array" aca="1" ref="G552" ca="1">INDEX($O$2:$O$34,INT(A552/$Z$1)+2)</f>
        <v>72.576188587143719</v>
      </c>
      <c r="H552">
        <f t="shared" ca="1" si="67"/>
        <v>-6.8577488171974732E-2</v>
      </c>
      <c r="I552">
        <f t="shared" ca="1" si="68"/>
        <v>-0.41146492903184839</v>
      </c>
      <c r="J552" s="3">
        <f t="shared" ca="1" si="69"/>
        <v>74.359203279615059</v>
      </c>
      <c r="K552" s="3">
        <f t="shared" ca="1" si="70"/>
        <v>4.8811720350272481E-4</v>
      </c>
      <c r="L552" s="3"/>
    </row>
    <row r="553" spans="1:12" x14ac:dyDescent="0.3">
      <c r="A553">
        <v>551</v>
      </c>
      <c r="B553" s="2">
        <f t="shared" si="64"/>
        <v>11673.728813559323</v>
      </c>
      <c r="C553" s="2">
        <f t="shared" si="65"/>
        <v>3.3710315233432386E-3</v>
      </c>
      <c r="D553" s="2">
        <f t="shared" si="66"/>
        <v>23.495104940533054</v>
      </c>
      <c r="E553" s="3">
        <f t="shared" si="71"/>
        <v>74.291188892959497</v>
      </c>
      <c r="F553" cm="1">
        <f t="array" aca="1" ref="F553" ca="1">INDEX($O$2:$O$34,INT(A553/$Z$1)+1)</f>
        <v>74.77066820864691</v>
      </c>
      <c r="G553" cm="1">
        <f t="array" aca="1" ref="G553" ca="1">INDEX($O$2:$O$34,INT(A553/$Z$1)+2)</f>
        <v>72.576188587143719</v>
      </c>
      <c r="H553">
        <f t="shared" ca="1" si="67"/>
        <v>-6.8577488171974732E-2</v>
      </c>
      <c r="I553">
        <f t="shared" ca="1" si="68"/>
        <v>-0.48004241720382312</v>
      </c>
      <c r="J553" s="3">
        <f t="shared" ca="1" si="69"/>
        <v>74.290625791443091</v>
      </c>
      <c r="K553" s="3">
        <f t="shared" ca="1" si="70"/>
        <v>5.6310151640559525E-4</v>
      </c>
      <c r="L553" s="3"/>
    </row>
    <row r="554" spans="1:12" x14ac:dyDescent="0.3">
      <c r="A554">
        <v>552</v>
      </c>
      <c r="B554" s="2">
        <f t="shared" si="64"/>
        <v>11719.745222929936</v>
      </c>
      <c r="C554" s="2">
        <f t="shared" si="65"/>
        <v>3.3714640728071893E-3</v>
      </c>
      <c r="D554" s="2">
        <f t="shared" si="66"/>
        <v>23.457046198587534</v>
      </c>
      <c r="E554" s="3">
        <f t="shared" si="71"/>
        <v>74.222683157457567</v>
      </c>
      <c r="F554" cm="1">
        <f t="array" aca="1" ref="F554" ca="1">INDEX($O$2:$O$34,INT(A554/$Z$1)+1)</f>
        <v>74.77066820864691</v>
      </c>
      <c r="G554" cm="1">
        <f t="array" aca="1" ref="G554" ca="1">INDEX($O$2:$O$34,INT(A554/$Z$1)+2)</f>
        <v>72.576188587143719</v>
      </c>
      <c r="H554">
        <f t="shared" ca="1" si="67"/>
        <v>-6.8577488171974732E-2</v>
      </c>
      <c r="I554">
        <f t="shared" ca="1" si="68"/>
        <v>-0.54861990537579786</v>
      </c>
      <c r="J554" s="3">
        <f t="shared" ca="1" si="69"/>
        <v>74.222048303271109</v>
      </c>
      <c r="K554" s="3">
        <f t="shared" ca="1" si="70"/>
        <v>6.3485418645825575E-4</v>
      </c>
      <c r="L554" s="3"/>
    </row>
    <row r="555" spans="1:12" x14ac:dyDescent="0.3">
      <c r="A555">
        <v>553</v>
      </c>
      <c r="B555" s="2">
        <f t="shared" si="64"/>
        <v>11765.95744680851</v>
      </c>
      <c r="C555" s="2">
        <f t="shared" si="65"/>
        <v>3.3718967570524243E-3</v>
      </c>
      <c r="D555" s="2">
        <f t="shared" si="66"/>
        <v>23.418985366610002</v>
      </c>
      <c r="E555" s="3">
        <f t="shared" si="71"/>
        <v>74.154173659898007</v>
      </c>
      <c r="F555" cm="1">
        <f t="array" aca="1" ref="F555" ca="1">INDEX($O$2:$O$34,INT(A555/$Z$1)+1)</f>
        <v>74.77066820864691</v>
      </c>
      <c r="G555" cm="1">
        <f t="array" aca="1" ref="G555" ca="1">INDEX($O$2:$O$34,INT(A555/$Z$1)+2)</f>
        <v>72.576188587143719</v>
      </c>
      <c r="H555">
        <f t="shared" ca="1" si="67"/>
        <v>-6.8577488171974732E-2</v>
      </c>
      <c r="I555">
        <f t="shared" ca="1" si="68"/>
        <v>-0.61719739354777259</v>
      </c>
      <c r="J555" s="3">
        <f t="shared" ca="1" si="69"/>
        <v>74.153470815099141</v>
      </c>
      <c r="K555" s="3">
        <f t="shared" ca="1" si="70"/>
        <v>7.0284479886595363E-4</v>
      </c>
      <c r="L555" s="3"/>
    </row>
    <row r="556" spans="1:12" x14ac:dyDescent="0.3">
      <c r="A556">
        <v>554</v>
      </c>
      <c r="B556" s="2">
        <f t="shared" si="64"/>
        <v>11812.366737739872</v>
      </c>
      <c r="C556" s="2">
        <f t="shared" si="65"/>
        <v>3.372329579494036E-3</v>
      </c>
      <c r="D556" s="2">
        <f t="shared" si="66"/>
        <v>23.38092214967736</v>
      </c>
      <c r="E556" s="3">
        <f t="shared" si="71"/>
        <v>74.085659869419246</v>
      </c>
      <c r="F556" cm="1">
        <f t="array" aca="1" ref="F556" ca="1">INDEX($O$2:$O$34,INT(A556/$Z$1)+1)</f>
        <v>74.77066820864691</v>
      </c>
      <c r="G556" cm="1">
        <f t="array" aca="1" ref="G556" ca="1">INDEX($O$2:$O$34,INT(A556/$Z$1)+2)</f>
        <v>72.576188587143719</v>
      </c>
      <c r="H556">
        <f t="shared" ca="1" si="67"/>
        <v>-6.8577488171974732E-2</v>
      </c>
      <c r="I556">
        <f t="shared" ca="1" si="68"/>
        <v>-0.68577488171974732</v>
      </c>
      <c r="J556" s="3">
        <f t="shared" ca="1" si="69"/>
        <v>74.084893326927158</v>
      </c>
      <c r="K556" s="3">
        <f t="shared" ca="1" si="70"/>
        <v>7.6654249208729652E-4</v>
      </c>
      <c r="L556" s="3"/>
    </row>
    <row r="557" spans="1:12" x14ac:dyDescent="0.3">
      <c r="A557">
        <v>555</v>
      </c>
      <c r="B557" s="2">
        <f t="shared" si="64"/>
        <v>11858.974358974359</v>
      </c>
      <c r="C557" s="2">
        <f t="shared" si="65"/>
        <v>3.3727625435535816E-3</v>
      </c>
      <c r="D557" s="2">
        <f t="shared" si="66"/>
        <v>23.342856252604292</v>
      </c>
      <c r="E557" s="3">
        <f t="shared" si="71"/>
        <v>74.017141254687729</v>
      </c>
      <c r="F557" cm="1">
        <f t="array" aca="1" ref="F557" ca="1">INDEX($O$2:$O$34,INT(A557/$Z$1)+1)</f>
        <v>74.77066820864691</v>
      </c>
      <c r="G557" cm="1">
        <f t="array" aca="1" ref="G557" ca="1">INDEX($O$2:$O$34,INT(A557/$Z$1)+2)</f>
        <v>72.576188587143719</v>
      </c>
      <c r="H557">
        <f t="shared" ca="1" si="67"/>
        <v>-6.8577488171974732E-2</v>
      </c>
      <c r="I557">
        <f t="shared" ca="1" si="68"/>
        <v>-0.75435236989172205</v>
      </c>
      <c r="J557" s="3">
        <f t="shared" ca="1" si="69"/>
        <v>74.01631583875519</v>
      </c>
      <c r="K557" s="3">
        <f t="shared" ca="1" si="70"/>
        <v>8.2541593253893097E-4</v>
      </c>
      <c r="L557" s="3"/>
    </row>
    <row r="558" spans="1:12" x14ac:dyDescent="0.3">
      <c r="A558">
        <v>556</v>
      </c>
      <c r="B558" s="2">
        <f t="shared" si="64"/>
        <v>11905.781584582441</v>
      </c>
      <c r="C558" s="2">
        <f t="shared" si="65"/>
        <v>3.3731956526592507E-3</v>
      </c>
      <c r="D558" s="2">
        <f t="shared" si="66"/>
        <v>23.304787379929337</v>
      </c>
      <c r="E558" s="3">
        <f t="shared" si="71"/>
        <v>73.948617283872807</v>
      </c>
      <c r="F558" cm="1">
        <f t="array" aca="1" ref="F558" ca="1">INDEX($O$2:$O$34,INT(A558/$Z$1)+1)</f>
        <v>74.77066820864691</v>
      </c>
      <c r="G558" cm="1">
        <f t="array" aca="1" ref="G558" ca="1">INDEX($O$2:$O$34,INT(A558/$Z$1)+2)</f>
        <v>72.576188587143719</v>
      </c>
      <c r="H558">
        <f t="shared" ca="1" si="67"/>
        <v>-6.8577488171974732E-2</v>
      </c>
      <c r="I558">
        <f t="shared" ca="1" si="68"/>
        <v>-0.82292985806369678</v>
      </c>
      <c r="J558" s="3">
        <f t="shared" ca="1" si="69"/>
        <v>73.947738350583208</v>
      </c>
      <c r="K558" s="3">
        <f t="shared" ca="1" si="70"/>
        <v>8.7893328959864903E-4</v>
      </c>
      <c r="L558" s="3"/>
    </row>
    <row r="559" spans="1:12" x14ac:dyDescent="0.3">
      <c r="A559">
        <v>557</v>
      </c>
      <c r="B559" s="2">
        <f t="shared" si="64"/>
        <v>11952.789699570816</v>
      </c>
      <c r="C559" s="2">
        <f t="shared" si="65"/>
        <v>3.3736289102460314E-3</v>
      </c>
      <c r="D559" s="2">
        <f t="shared" si="66"/>
        <v>23.266715235900733</v>
      </c>
      <c r="E559" s="3">
        <f t="shared" si="71"/>
        <v>73.880087424621323</v>
      </c>
      <c r="F559" cm="1">
        <f t="array" aca="1" ref="F559" ca="1">INDEX($O$2:$O$34,INT(A559/$Z$1)+1)</f>
        <v>74.77066820864691</v>
      </c>
      <c r="G559" cm="1">
        <f t="array" aca="1" ref="G559" ca="1">INDEX($O$2:$O$34,INT(A559/$Z$1)+2)</f>
        <v>72.576188587143719</v>
      </c>
      <c r="H559">
        <f t="shared" ca="1" si="67"/>
        <v>-6.8577488171974732E-2</v>
      </c>
      <c r="I559">
        <f t="shared" ca="1" si="68"/>
        <v>-0.89150734623567152</v>
      </c>
      <c r="J559" s="3">
        <f t="shared" ca="1" si="69"/>
        <v>73.87916086241124</v>
      </c>
      <c r="K559" s="3">
        <f t="shared" ca="1" si="70"/>
        <v>9.2656221008269313E-4</v>
      </c>
      <c r="L559" s="3"/>
    </row>
    <row r="560" spans="1:12" x14ac:dyDescent="0.3">
      <c r="A560">
        <v>558</v>
      </c>
      <c r="B560" s="2">
        <f t="shared" si="64"/>
        <v>12000</v>
      </c>
      <c r="C560" s="2">
        <f t="shared" si="65"/>
        <v>3.3740623197558782E-3</v>
      </c>
      <c r="D560" s="2">
        <f t="shared" si="66"/>
        <v>23.228639524462778</v>
      </c>
      <c r="E560" s="3">
        <f t="shared" si="71"/>
        <v>73.811551144033004</v>
      </c>
      <c r="F560" cm="1">
        <f t="array" aca="1" ref="F560" ca="1">INDEX($O$2:$O$34,INT(A560/$Z$1)+1)</f>
        <v>74.77066820864691</v>
      </c>
      <c r="G560" cm="1">
        <f t="array" aca="1" ref="G560" ca="1">INDEX($O$2:$O$34,INT(A560/$Z$1)+2)</f>
        <v>72.576188587143719</v>
      </c>
      <c r="H560">
        <f t="shared" ca="1" si="67"/>
        <v>-6.8577488171974732E-2</v>
      </c>
      <c r="I560">
        <f t="shared" ca="1" si="68"/>
        <v>-0.96008483440764625</v>
      </c>
      <c r="J560" s="3">
        <f t="shared" ca="1" si="69"/>
        <v>73.810583374239258</v>
      </c>
      <c r="K560" s="3">
        <f t="shared" ca="1" si="70"/>
        <v>9.6776979374624261E-4</v>
      </c>
      <c r="L560" s="3"/>
    </row>
    <row r="561" spans="1:12" x14ac:dyDescent="0.3">
      <c r="A561">
        <v>559</v>
      </c>
      <c r="B561" s="2">
        <f t="shared" si="64"/>
        <v>12047.413793103447</v>
      </c>
      <c r="C561" s="2">
        <f t="shared" si="65"/>
        <v>3.3744958846378828E-3</v>
      </c>
      <c r="D561" s="2">
        <f t="shared" si="66"/>
        <v>23.190559949241162</v>
      </c>
      <c r="E561" s="3">
        <f t="shared" si="71"/>
        <v>73.743007908634098</v>
      </c>
      <c r="F561" cm="1">
        <f t="array" aca="1" ref="F561" ca="1">INDEX($O$2:$O$34,INT(A561/$Z$1)+1)</f>
        <v>74.77066820864691</v>
      </c>
      <c r="G561" cm="1">
        <f t="array" aca="1" ref="G561" ca="1">INDEX($O$2:$O$34,INT(A561/$Z$1)+2)</f>
        <v>72.576188587143719</v>
      </c>
      <c r="H561">
        <f t="shared" ca="1" si="67"/>
        <v>-6.8577488171974732E-2</v>
      </c>
      <c r="I561">
        <f t="shared" ca="1" si="68"/>
        <v>-1.028662322579621</v>
      </c>
      <c r="J561" s="3">
        <f t="shared" ca="1" si="69"/>
        <v>73.74200588606729</v>
      </c>
      <c r="K561" s="3">
        <f t="shared" ca="1" si="70"/>
        <v>1.0020225668085914E-3</v>
      </c>
      <c r="L561" s="3"/>
    </row>
    <row r="562" spans="1:12" x14ac:dyDescent="0.3">
      <c r="A562">
        <v>560</v>
      </c>
      <c r="B562" s="2">
        <f t="shared" si="64"/>
        <v>12095.032397408208</v>
      </c>
      <c r="C562" s="2">
        <f t="shared" si="65"/>
        <v>3.3749296083484411E-3</v>
      </c>
      <c r="D562" s="2">
        <f t="shared" si="66"/>
        <v>23.152476213529383</v>
      </c>
      <c r="E562" s="3">
        <f t="shared" si="71"/>
        <v>73.674457184352889</v>
      </c>
      <c r="F562" cm="1">
        <f t="array" aca="1" ref="F562" ca="1">INDEX($O$2:$O$34,INT(A562/$Z$1)+1)</f>
        <v>74.77066820864691</v>
      </c>
      <c r="G562" cm="1">
        <f t="array" aca="1" ref="G562" ca="1">INDEX($O$2:$O$34,INT(A562/$Z$1)+2)</f>
        <v>72.576188587143719</v>
      </c>
      <c r="H562">
        <f t="shared" ca="1" si="67"/>
        <v>-6.8577488171974732E-2</v>
      </c>
      <c r="I562">
        <f t="shared" ca="1" si="68"/>
        <v>-1.0972398107515957</v>
      </c>
      <c r="J562" s="3">
        <f t="shared" ca="1" si="69"/>
        <v>73.673428397895321</v>
      </c>
      <c r="K562" s="3">
        <f t="shared" ca="1" si="70"/>
        <v>1.0287864575673211E-3</v>
      </c>
      <c r="L562" s="3"/>
    </row>
    <row r="563" spans="1:12" x14ac:dyDescent="0.3">
      <c r="A563">
        <v>561</v>
      </c>
      <c r="B563" s="2">
        <f t="shared" si="64"/>
        <v>12142.857142857143</v>
      </c>
      <c r="C563" s="2">
        <f t="shared" si="65"/>
        <v>3.3753634943514254E-3</v>
      </c>
      <c r="D563" s="2">
        <f t="shared" si="66"/>
        <v>23.114388020274419</v>
      </c>
      <c r="E563" s="3">
        <f t="shared" si="71"/>
        <v>73.605898436493959</v>
      </c>
      <c r="F563" cm="1">
        <f t="array" aca="1" ref="F563" ca="1">INDEX($O$2:$O$34,INT(A563/$Z$1)+1)</f>
        <v>74.77066820864691</v>
      </c>
      <c r="G563" cm="1">
        <f t="array" aca="1" ref="G563" ca="1">INDEX($O$2:$O$34,INT(A563/$Z$1)+2)</f>
        <v>72.576188587143719</v>
      </c>
      <c r="H563">
        <f t="shared" ca="1" si="67"/>
        <v>-6.8577488171974732E-2</v>
      </c>
      <c r="I563">
        <f t="shared" ca="1" si="68"/>
        <v>-1.1658172989235704</v>
      </c>
      <c r="J563" s="3">
        <f t="shared" ca="1" si="69"/>
        <v>73.604850909723339</v>
      </c>
      <c r="K563" s="3">
        <f t="shared" ca="1" si="70"/>
        <v>1.047526770619811E-3</v>
      </c>
      <c r="L563" s="3"/>
    </row>
    <row r="564" spans="1:12" x14ac:dyDescent="0.3">
      <c r="A564">
        <v>562</v>
      </c>
      <c r="B564" s="2">
        <f t="shared" si="64"/>
        <v>12190.889370932755</v>
      </c>
      <c r="C564" s="2">
        <f t="shared" si="65"/>
        <v>3.3757975461183565E-3</v>
      </c>
      <c r="D564" s="2">
        <f t="shared" si="66"/>
        <v>23.076295072062294</v>
      </c>
      <c r="E564" s="3">
        <f t="shared" si="71"/>
        <v>73.537331129712129</v>
      </c>
      <c r="F564" cm="1">
        <f t="array" aca="1" ref="F564" ca="1">INDEX($O$2:$O$34,INT(A564/$Z$1)+1)</f>
        <v>74.77066820864691</v>
      </c>
      <c r="G564" cm="1">
        <f t="array" aca="1" ref="G564" ca="1">INDEX($O$2:$O$34,INT(A564/$Z$1)+2)</f>
        <v>72.576188587143719</v>
      </c>
      <c r="H564">
        <f t="shared" ca="1" si="67"/>
        <v>-6.8577488171974732E-2</v>
      </c>
      <c r="I564">
        <f t="shared" ca="1" si="68"/>
        <v>-1.2343947870955452</v>
      </c>
      <c r="J564" s="3">
        <f t="shared" ca="1" si="69"/>
        <v>73.536273421551371</v>
      </c>
      <c r="K564" s="3">
        <f t="shared" ca="1" si="70"/>
        <v>1.0577081607578975E-3</v>
      </c>
      <c r="L564" s="3"/>
    </row>
    <row r="565" spans="1:12" x14ac:dyDescent="0.3">
      <c r="A565">
        <v>563</v>
      </c>
      <c r="B565" s="2">
        <f t="shared" si="64"/>
        <v>12239.130434782608</v>
      </c>
      <c r="C565" s="2">
        <f t="shared" si="65"/>
        <v>3.3762317671285737E-3</v>
      </c>
      <c r="D565" s="2">
        <f t="shared" si="66"/>
        <v>23.038197071104094</v>
      </c>
      <c r="E565" s="3">
        <f t="shared" si="71"/>
        <v>73.468754727987374</v>
      </c>
      <c r="F565" cm="1">
        <f t="array" aca="1" ref="F565" ca="1">INDEX($O$2:$O$34,INT(A565/$Z$1)+1)</f>
        <v>74.77066820864691</v>
      </c>
      <c r="G565" cm="1">
        <f t="array" aca="1" ref="G565" ca="1">INDEX($O$2:$O$34,INT(A565/$Z$1)+2)</f>
        <v>72.576188587143719</v>
      </c>
      <c r="H565">
        <f t="shared" ca="1" si="67"/>
        <v>-6.8577488171974732E-2</v>
      </c>
      <c r="I565">
        <f t="shared" ca="1" si="68"/>
        <v>-1.3029722752675199</v>
      </c>
      <c r="J565" s="3">
        <f t="shared" ca="1" si="69"/>
        <v>73.467695933379389</v>
      </c>
      <c r="K565" s="3">
        <f t="shared" ca="1" si="70"/>
        <v>1.0587946079851918E-3</v>
      </c>
      <c r="L565" s="3"/>
    </row>
    <row r="566" spans="1:12" x14ac:dyDescent="0.3">
      <c r="A566">
        <v>564</v>
      </c>
      <c r="B566" s="2">
        <f t="shared" si="64"/>
        <v>12287.581699346405</v>
      </c>
      <c r="C566" s="2">
        <f t="shared" si="65"/>
        <v>3.3766661608694115E-3</v>
      </c>
      <c r="D566" s="2">
        <f t="shared" si="66"/>
        <v>23.000093719221525</v>
      </c>
      <c r="E566" s="3">
        <f t="shared" si="71"/>
        <v>73.400168694598747</v>
      </c>
      <c r="F566" cm="1">
        <f t="array" aca="1" ref="F566" ca="1">INDEX($O$2:$O$34,INT(A566/$Z$1)+1)</f>
        <v>74.77066820864691</v>
      </c>
      <c r="G566" cm="1">
        <f t="array" aca="1" ref="G566" ca="1">INDEX($O$2:$O$34,INT(A566/$Z$1)+2)</f>
        <v>72.576188587143719</v>
      </c>
      <c r="H566">
        <f t="shared" ca="1" si="67"/>
        <v>-6.8577488171974732E-2</v>
      </c>
      <c r="I566">
        <f t="shared" ca="1" si="68"/>
        <v>-1.3715497634394946</v>
      </c>
      <c r="J566" s="3">
        <f t="shared" ca="1" si="69"/>
        <v>73.399118445207421</v>
      </c>
      <c r="K566" s="3">
        <f t="shared" ca="1" si="70"/>
        <v>1.0502493913264743E-3</v>
      </c>
      <c r="L566" s="3"/>
    </row>
    <row r="567" spans="1:12" x14ac:dyDescent="0.3">
      <c r="A567">
        <v>565</v>
      </c>
      <c r="B567" s="2">
        <f t="shared" si="64"/>
        <v>12336.244541484717</v>
      </c>
      <c r="C567" s="2">
        <f t="shared" si="65"/>
        <v>3.3771007308363707E-3</v>
      </c>
      <c r="D567" s="2">
        <f t="shared" si="66"/>
        <v>22.961984717832422</v>
      </c>
      <c r="E567" s="3">
        <f t="shared" si="71"/>
        <v>73.33157249209836</v>
      </c>
      <c r="F567" cm="1">
        <f t="array" aca="1" ref="F567" ca="1">INDEX($O$2:$O$34,INT(A567/$Z$1)+1)</f>
        <v>74.77066820864691</v>
      </c>
      <c r="G567" cm="1">
        <f t="array" aca="1" ref="G567" ca="1">INDEX($O$2:$O$34,INT(A567/$Z$1)+2)</f>
        <v>72.576188587143719</v>
      </c>
      <c r="H567">
        <f t="shared" ca="1" si="67"/>
        <v>-6.8577488171974732E-2</v>
      </c>
      <c r="I567">
        <f t="shared" ca="1" si="68"/>
        <v>-1.4401272516114694</v>
      </c>
      <c r="J567" s="3">
        <f t="shared" ca="1" si="69"/>
        <v>73.330540957035439</v>
      </c>
      <c r="K567" s="3">
        <f t="shared" ca="1" si="70"/>
        <v>1.0315350629213071E-3</v>
      </c>
      <c r="L567" s="3"/>
    </row>
    <row r="568" spans="1:12" x14ac:dyDescent="0.3">
      <c r="A568">
        <v>566</v>
      </c>
      <c r="B568" s="2">
        <f t="shared" si="64"/>
        <v>12385.12035010941</v>
      </c>
      <c r="C568" s="2">
        <f t="shared" si="65"/>
        <v>3.3775354805332951E-3</v>
      </c>
      <c r="D568" s="2">
        <f t="shared" si="66"/>
        <v>22.923869767936651</v>
      </c>
      <c r="E568" s="3">
        <f t="shared" si="71"/>
        <v>73.262965582285972</v>
      </c>
      <c r="F568" cm="1">
        <f t="array" aca="1" ref="F568" ca="1">INDEX($O$2:$O$34,INT(A568/$Z$1)+1)</f>
        <v>74.77066820864691</v>
      </c>
      <c r="G568" cm="1">
        <f t="array" aca="1" ref="G568" ca="1">INDEX($O$2:$O$34,INT(A568/$Z$1)+2)</f>
        <v>72.576188587143719</v>
      </c>
      <c r="H568">
        <f t="shared" ca="1" si="67"/>
        <v>-6.8577488171974732E-2</v>
      </c>
      <c r="I568">
        <f t="shared" ca="1" si="68"/>
        <v>-1.5087047397834441</v>
      </c>
      <c r="J568" s="3">
        <f t="shared" ca="1" si="69"/>
        <v>73.26196346886347</v>
      </c>
      <c r="K568" s="3">
        <f t="shared" ca="1" si="70"/>
        <v>1.0021134225013384E-3</v>
      </c>
      <c r="L568" s="3"/>
    </row>
    <row r="569" spans="1:12" x14ac:dyDescent="0.3">
      <c r="A569">
        <v>567</v>
      </c>
      <c r="B569" s="2">
        <f t="shared" si="64"/>
        <v>12434.21052631579</v>
      </c>
      <c r="C569" s="2">
        <f t="shared" si="65"/>
        <v>3.3779704134725484E-3</v>
      </c>
      <c r="D569" s="2">
        <f t="shared" si="66"/>
        <v>22.885748570101157</v>
      </c>
      <c r="E569" s="3">
        <f t="shared" si="71"/>
        <v>73.194347426182077</v>
      </c>
      <c r="F569" cm="1">
        <f t="array" aca="1" ref="F569" ca="1">INDEX($O$2:$O$34,INT(A569/$Z$1)+1)</f>
        <v>74.77066820864691</v>
      </c>
      <c r="G569" cm="1">
        <f t="array" aca="1" ref="G569" ca="1">INDEX($O$2:$O$34,INT(A569/$Z$1)+2)</f>
        <v>72.576188587143719</v>
      </c>
      <c r="H569">
        <f t="shared" ca="1" si="67"/>
        <v>-6.8577488171974732E-2</v>
      </c>
      <c r="I569">
        <f t="shared" ca="1" si="68"/>
        <v>-1.5772822279554188</v>
      </c>
      <c r="J569" s="3">
        <f t="shared" ca="1" si="69"/>
        <v>73.193385980691488</v>
      </c>
      <c r="K569" s="3">
        <f t="shared" ca="1" si="70"/>
        <v>9.6144549058863049E-4</v>
      </c>
      <c r="L569" s="3"/>
    </row>
    <row r="570" spans="1:12" x14ac:dyDescent="0.3">
      <c r="A570">
        <v>568</v>
      </c>
      <c r="B570" s="2">
        <f t="shared" si="64"/>
        <v>12483.516483516483</v>
      </c>
      <c r="C570" s="2">
        <f t="shared" si="65"/>
        <v>3.3784055331751903E-3</v>
      </c>
      <c r="D570" s="2">
        <f t="shared" si="66"/>
        <v>22.847620824445926</v>
      </c>
      <c r="E570" s="3">
        <f t="shared" si="71"/>
        <v>73.125717484002664</v>
      </c>
      <c r="F570" cm="1">
        <f t="array" aca="1" ref="F570" ca="1">INDEX($O$2:$O$34,INT(A570/$Z$1)+1)</f>
        <v>74.77066820864691</v>
      </c>
      <c r="G570" cm="1">
        <f t="array" aca="1" ref="G570" ca="1">INDEX($O$2:$O$34,INT(A570/$Z$1)+2)</f>
        <v>72.576188587143719</v>
      </c>
      <c r="H570">
        <f t="shared" ca="1" si="67"/>
        <v>-6.8577488171974732E-2</v>
      </c>
      <c r="I570">
        <f t="shared" ca="1" si="68"/>
        <v>-1.6458597161273936</v>
      </c>
      <c r="J570" s="3">
        <f t="shared" ca="1" si="69"/>
        <v>73.12480849251952</v>
      </c>
      <c r="K570" s="3">
        <f t="shared" ca="1" si="70"/>
        <v>9.0899148314349532E-4</v>
      </c>
      <c r="L570" s="3"/>
    </row>
    <row r="571" spans="1:12" x14ac:dyDescent="0.3">
      <c r="A571">
        <v>569</v>
      </c>
      <c r="B571" s="2">
        <f t="shared" si="64"/>
        <v>12533.039647577092</v>
      </c>
      <c r="C571" s="2">
        <f t="shared" si="65"/>
        <v>3.378840843171155E-3</v>
      </c>
      <c r="D571" s="2">
        <f t="shared" si="66"/>
        <v>22.80948623062892</v>
      </c>
      <c r="E571" s="3">
        <f t="shared" si="71"/>
        <v>73.057075215132059</v>
      </c>
      <c r="F571" cm="1">
        <f t="array" aca="1" ref="F571" ca="1">INDEX($O$2:$O$34,INT(A571/$Z$1)+1)</f>
        <v>74.77066820864691</v>
      </c>
      <c r="G571" cm="1">
        <f t="array" aca="1" ref="G571" ca="1">INDEX($O$2:$O$34,INT(A571/$Z$1)+2)</f>
        <v>72.576188587143719</v>
      </c>
      <c r="H571">
        <f t="shared" ca="1" si="67"/>
        <v>-6.8577488171974732E-2</v>
      </c>
      <c r="I571">
        <f t="shared" ca="1" si="68"/>
        <v>-1.7144372042993683</v>
      </c>
      <c r="J571" s="3">
        <f t="shared" ca="1" si="69"/>
        <v>73.056231004347538</v>
      </c>
      <c r="K571" s="3">
        <f t="shared" ca="1" si="70"/>
        <v>8.4421078452123766E-4</v>
      </c>
      <c r="L571" s="3"/>
    </row>
    <row r="572" spans="1:12" x14ac:dyDescent="0.3">
      <c r="A572">
        <v>570</v>
      </c>
      <c r="B572" s="2">
        <f t="shared" si="64"/>
        <v>12582.781456953642</v>
      </c>
      <c r="C572" s="2">
        <f t="shared" si="65"/>
        <v>3.3792763469994314E-3</v>
      </c>
      <c r="D572" s="2">
        <f t="shared" si="66"/>
        <v>22.771344487831641</v>
      </c>
      <c r="E572" s="3">
        <f t="shared" si="71"/>
        <v>72.988420078096951</v>
      </c>
      <c r="F572" cm="1">
        <f t="array" aca="1" ref="F572" ca="1">INDEX($O$2:$O$34,INT(A572/$Z$1)+1)</f>
        <v>74.77066820864691</v>
      </c>
      <c r="G572" cm="1">
        <f t="array" aca="1" ref="G572" ca="1">INDEX($O$2:$O$34,INT(A572/$Z$1)+2)</f>
        <v>72.576188587143719</v>
      </c>
      <c r="H572">
        <f t="shared" ca="1" si="67"/>
        <v>-6.8577488171974732E-2</v>
      </c>
      <c r="I572">
        <f t="shared" ca="1" si="68"/>
        <v>-1.783014692471343</v>
      </c>
      <c r="J572" s="3">
        <f t="shared" ca="1" si="69"/>
        <v>72.98765351617557</v>
      </c>
      <c r="K572" s="3">
        <f t="shared" ca="1" si="70"/>
        <v>7.6656192138102597E-4</v>
      </c>
      <c r="L572" s="3"/>
    </row>
    <row r="573" spans="1:12" x14ac:dyDescent="0.3">
      <c r="A573">
        <v>571</v>
      </c>
      <c r="B573" s="2">
        <f t="shared" si="64"/>
        <v>12632.743362831858</v>
      </c>
      <c r="C573" s="2">
        <f t="shared" si="65"/>
        <v>3.3797120482082434E-3</v>
      </c>
      <c r="D573" s="2">
        <f t="shared" si="66"/>
        <v>22.733195294744348</v>
      </c>
      <c r="E573" s="3">
        <f t="shared" si="71"/>
        <v>72.919751530539827</v>
      </c>
      <c r="F573" cm="1">
        <f t="array" aca="1" ref="F573" ca="1">INDEX($O$2:$O$34,INT(A573/$Z$1)+1)</f>
        <v>74.77066820864691</v>
      </c>
      <c r="G573" cm="1">
        <f t="array" aca="1" ref="G573" ca="1">INDEX($O$2:$O$34,INT(A573/$Z$1)+2)</f>
        <v>72.576188587143719</v>
      </c>
      <c r="H573">
        <f t="shared" ca="1" si="67"/>
        <v>-6.8577488171974732E-2</v>
      </c>
      <c r="I573">
        <f t="shared" ca="1" si="68"/>
        <v>-1.8515921806433178</v>
      </c>
      <c r="J573" s="3">
        <f t="shared" ca="1" si="69"/>
        <v>72.919076028003587</v>
      </c>
      <c r="K573" s="3">
        <f t="shared" ca="1" si="70"/>
        <v>6.7550253623949175E-4</v>
      </c>
      <c r="L573" s="3"/>
    </row>
    <row r="574" spans="1:12" x14ac:dyDescent="0.3">
      <c r="A574">
        <v>572</v>
      </c>
      <c r="B574" s="2">
        <f t="shared" si="64"/>
        <v>12682.926829268292</v>
      </c>
      <c r="C574" s="2">
        <f t="shared" si="65"/>
        <v>3.3801479503552299E-3</v>
      </c>
      <c r="D574" s="2">
        <f t="shared" si="66"/>
        <v>22.695038349551282</v>
      </c>
      <c r="E574" s="3">
        <f t="shared" si="71"/>
        <v>72.851069029192303</v>
      </c>
      <c r="F574" cm="1">
        <f t="array" aca="1" ref="F574" ca="1">INDEX($O$2:$O$34,INT(A574/$Z$1)+1)</f>
        <v>74.77066820864691</v>
      </c>
      <c r="G574" cm="1">
        <f t="array" aca="1" ref="G574" ca="1">INDEX($O$2:$O$34,INT(A574/$Z$1)+2)</f>
        <v>72.576188587143719</v>
      </c>
      <c r="H574">
        <f t="shared" ca="1" si="67"/>
        <v>-6.8577488171974732E-2</v>
      </c>
      <c r="I574">
        <f t="shared" ca="1" si="68"/>
        <v>-1.9201696688152925</v>
      </c>
      <c r="J574" s="3">
        <f t="shared" ca="1" si="69"/>
        <v>72.850498539831619</v>
      </c>
      <c r="K574" s="3">
        <f t="shared" ca="1" si="70"/>
        <v>5.7048936068326839E-4</v>
      </c>
      <c r="L574" s="3"/>
    </row>
    <row r="575" spans="1:12" x14ac:dyDescent="0.3">
      <c r="A575">
        <v>573</v>
      </c>
      <c r="B575" s="2">
        <f t="shared" si="64"/>
        <v>12733.333333333334</v>
      </c>
      <c r="C575" s="2">
        <f t="shared" si="65"/>
        <v>3.3805840570076307E-3</v>
      </c>
      <c r="D575" s="2">
        <f t="shared" si="66"/>
        <v>22.6568733499156</v>
      </c>
      <c r="E575" s="3">
        <f t="shared" si="71"/>
        <v>72.782372029848077</v>
      </c>
      <c r="F575" cm="1">
        <f t="array" aca="1" ref="F575" ca="1">INDEX($O$2:$O$34,INT(A575/$Z$1)+1)</f>
        <v>74.77066820864691</v>
      </c>
      <c r="G575" cm="1">
        <f t="array" aca="1" ref="G575" ca="1">INDEX($O$2:$O$34,INT(A575/$Z$1)+2)</f>
        <v>72.576188587143719</v>
      </c>
      <c r="H575">
        <f t="shared" ca="1" si="67"/>
        <v>-6.8577488171974732E-2</v>
      </c>
      <c r="I575">
        <f t="shared" ca="1" si="68"/>
        <v>-1.9887471569872672</v>
      </c>
      <c r="J575" s="3">
        <f t="shared" ca="1" si="69"/>
        <v>72.781921051659637</v>
      </c>
      <c r="K575" s="3">
        <f t="shared" ca="1" si="70"/>
        <v>4.509781884394215E-4</v>
      </c>
      <c r="L575" s="3"/>
    </row>
    <row r="576" spans="1:12" x14ac:dyDescent="0.3">
      <c r="A576">
        <v>574</v>
      </c>
      <c r="B576" s="2">
        <f t="shared" si="64"/>
        <v>12783.964365256124</v>
      </c>
      <c r="C576" s="2">
        <f t="shared" si="65"/>
        <v>3.3810203717424673E-3</v>
      </c>
      <c r="D576" s="2">
        <f t="shared" si="66"/>
        <v>22.618699992964764</v>
      </c>
      <c r="E576" s="3">
        <f t="shared" si="71"/>
        <v>72.71365998733657</v>
      </c>
      <c r="F576" cm="1">
        <f t="array" aca="1" ref="F576" ca="1">INDEX($O$2:$O$34,INT(A576/$Z$1)+1)</f>
        <v>74.77066820864691</v>
      </c>
      <c r="G576" cm="1">
        <f t="array" aca="1" ref="G576" ca="1">INDEX($O$2:$O$34,INT(A576/$Z$1)+2)</f>
        <v>72.576188587143719</v>
      </c>
      <c r="H576">
        <f t="shared" ca="1" si="67"/>
        <v>-6.8577488171974732E-2</v>
      </c>
      <c r="I576">
        <f t="shared" ca="1" si="68"/>
        <v>-2.057324645159242</v>
      </c>
      <c r="J576" s="3">
        <f t="shared" ca="1" si="69"/>
        <v>72.713343563487669</v>
      </c>
      <c r="K576" s="3">
        <f t="shared" ca="1" si="70"/>
        <v>3.1642384890062658E-4</v>
      </c>
      <c r="L576" s="3"/>
    </row>
    <row r="577" spans="1:12" x14ac:dyDescent="0.3">
      <c r="A577">
        <v>575</v>
      </c>
      <c r="B577" s="2">
        <f t="shared" si="64"/>
        <v>12834.821428571429</v>
      </c>
      <c r="C577" s="2">
        <f t="shared" si="65"/>
        <v>3.3814568981467294E-3</v>
      </c>
      <c r="D577" s="2">
        <f t="shared" si="66"/>
        <v>22.580517975275313</v>
      </c>
      <c r="E577" s="3">
        <f t="shared" si="71"/>
        <v>72.64493235549557</v>
      </c>
      <c r="F577" cm="1">
        <f t="array" aca="1" ref="F577" ca="1">INDEX($O$2:$O$34,INT(A577/$Z$1)+1)</f>
        <v>74.77066820864691</v>
      </c>
      <c r="G577" cm="1">
        <f t="array" aca="1" ref="G577" ca="1">INDEX($O$2:$O$34,INT(A577/$Z$1)+2)</f>
        <v>72.576188587143719</v>
      </c>
      <c r="H577">
        <f t="shared" ca="1" si="67"/>
        <v>-6.8577488171974732E-2</v>
      </c>
      <c r="I577">
        <f t="shared" ca="1" si="68"/>
        <v>-2.1259021333312167</v>
      </c>
      <c r="J577" s="3">
        <f t="shared" ca="1" si="69"/>
        <v>72.644766075315687</v>
      </c>
      <c r="K577" s="3">
        <f t="shared" ca="1" si="70"/>
        <v>1.6628017988296051E-4</v>
      </c>
      <c r="L577" s="3"/>
    </row>
    <row r="578" spans="1:12" x14ac:dyDescent="0.3">
      <c r="A578">
        <v>576</v>
      </c>
      <c r="B578" s="2">
        <f t="shared" ref="B578:B641" si="72">$T$1*A578/($V$1-A578)</f>
        <v>12885.906040268457</v>
      </c>
      <c r="C578" s="2">
        <f t="shared" ref="C578:C641" si="73">LOG(B578/$T$2)/$T$3 + (1/$X$2)</f>
        <v>3.3818936398175622E-3</v>
      </c>
      <c r="D578" s="2">
        <f t="shared" ref="D578:D641" si="74">1/C578 - 273.15</f>
        <v>22.542326992857625</v>
      </c>
      <c r="E578" s="3">
        <f t="shared" si="71"/>
        <v>72.576188587143719</v>
      </c>
      <c r="F578" cm="1">
        <f t="array" aca="1" ref="F578" ca="1">INDEX($O$2:$O$34,INT(A578/$Z$1)+1)</f>
        <v>72.576188587143719</v>
      </c>
      <c r="G578" cm="1">
        <f t="array" aca="1" ref="G578" ca="1">INDEX($O$2:$O$34,INT(A578/$Z$1)+2)</f>
        <v>70.364529642824778</v>
      </c>
      <c r="H578">
        <f t="shared" ca="1" si="67"/>
        <v>-6.9114342009966911E-2</v>
      </c>
      <c r="I578">
        <f t="shared" ca="1" si="68"/>
        <v>0</v>
      </c>
      <c r="J578" s="3">
        <f t="shared" ca="1" si="69"/>
        <v>72.576188587143719</v>
      </c>
      <c r="K578" s="3">
        <f t="shared" ca="1" si="70"/>
        <v>0</v>
      </c>
      <c r="L578" s="3"/>
    </row>
    <row r="579" spans="1:12" x14ac:dyDescent="0.3">
      <c r="A579">
        <v>577</v>
      </c>
      <c r="B579" s="2">
        <f t="shared" si="72"/>
        <v>12937.219730941704</v>
      </c>
      <c r="C579" s="2">
        <f t="shared" si="73"/>
        <v>3.3823306003624518E-3</v>
      </c>
      <c r="D579" s="2">
        <f t="shared" si="74"/>
        <v>22.504126741141079</v>
      </c>
      <c r="E579" s="3">
        <f t="shared" si="71"/>
        <v>72.507428134053939</v>
      </c>
      <c r="F579" cm="1">
        <f t="array" aca="1" ref="F579" ca="1">INDEX($O$2:$O$34,INT(A579/$Z$1)+1)</f>
        <v>72.576188587143719</v>
      </c>
      <c r="G579" cm="1">
        <f t="array" aca="1" ref="G579" ca="1">INDEX($O$2:$O$34,INT(A579/$Z$1)+2)</f>
        <v>70.364529642824778</v>
      </c>
      <c r="H579">
        <f t="shared" ref="H579:H642" ca="1" si="75">(G579-F579)/$Z$1</f>
        <v>-6.9114342009966911E-2</v>
      </c>
      <c r="I579">
        <f t="shared" ref="I579:I642" ca="1" si="76">H579*MOD(A579,$Z$1)</f>
        <v>-6.9114342009966911E-2</v>
      </c>
      <c r="J579" s="3">
        <f t="shared" ref="J579:J642" ca="1" si="77">F579+I579</f>
        <v>72.507074245133751</v>
      </c>
      <c r="K579" s="3">
        <f t="shared" ref="K579:K642" ca="1" si="78">E579-J579</f>
        <v>3.5388892018772822E-4</v>
      </c>
      <c r="L579" s="3"/>
    </row>
    <row r="580" spans="1:12" x14ac:dyDescent="0.3">
      <c r="A580">
        <v>578</v>
      </c>
      <c r="B580" s="2">
        <f t="shared" si="72"/>
        <v>12988.76404494382</v>
      </c>
      <c r="C580" s="2">
        <f t="shared" si="73"/>
        <v>3.3827677833994157E-3</v>
      </c>
      <c r="D580" s="2">
        <f t="shared" si="74"/>
        <v>22.465916914958541</v>
      </c>
      <c r="E580" s="3">
        <f t="shared" ref="E580:E643" si="79">D580*9/5 + 32</f>
        <v>72.438650446925379</v>
      </c>
      <c r="F580" cm="1">
        <f t="array" aca="1" ref="F580" ca="1">INDEX($O$2:$O$34,INT(A580/$Z$1)+1)</f>
        <v>72.576188587143719</v>
      </c>
      <c r="G580" cm="1">
        <f t="array" aca="1" ref="G580" ca="1">INDEX($O$2:$O$34,INT(A580/$Z$1)+2)</f>
        <v>70.364529642824778</v>
      </c>
      <c r="H580">
        <f t="shared" ca="1" si="75"/>
        <v>-6.9114342009966911E-2</v>
      </c>
      <c r="I580">
        <f t="shared" ca="1" si="76"/>
        <v>-0.13822868401993382</v>
      </c>
      <c r="J580" s="3">
        <f t="shared" ca="1" si="77"/>
        <v>72.437959903123783</v>
      </c>
      <c r="K580" s="3">
        <f t="shared" ca="1" si="78"/>
        <v>6.9054380159627726E-4</v>
      </c>
      <c r="L580" s="3"/>
    </row>
    <row r="581" spans="1:12" x14ac:dyDescent="0.3">
      <c r="A581">
        <v>579</v>
      </c>
      <c r="B581" s="2">
        <f t="shared" si="72"/>
        <v>13040.54054054054</v>
      </c>
      <c r="C581" s="2">
        <f t="shared" si="73"/>
        <v>3.3832051925571927E-3</v>
      </c>
      <c r="D581" s="2">
        <f t="shared" si="74"/>
        <v>22.427697208531129</v>
      </c>
      <c r="E581" s="3">
        <f t="shared" si="79"/>
        <v>72.369854975356034</v>
      </c>
      <c r="F581" cm="1">
        <f t="array" aca="1" ref="F581" ca="1">INDEX($O$2:$O$34,INT(A581/$Z$1)+1)</f>
        <v>72.576188587143719</v>
      </c>
      <c r="G581" cm="1">
        <f t="array" aca="1" ref="G581" ca="1">INDEX($O$2:$O$34,INT(A581/$Z$1)+2)</f>
        <v>70.364529642824778</v>
      </c>
      <c r="H581">
        <f t="shared" ca="1" si="75"/>
        <v>-6.9114342009966911E-2</v>
      </c>
      <c r="I581">
        <f t="shared" ca="1" si="76"/>
        <v>-0.20734302602990073</v>
      </c>
      <c r="J581" s="3">
        <f t="shared" ca="1" si="77"/>
        <v>72.368845561113815</v>
      </c>
      <c r="K581" s="3">
        <f t="shared" ca="1" si="78"/>
        <v>1.0094142422190089E-3</v>
      </c>
      <c r="L581" s="3"/>
    </row>
    <row r="582" spans="1:12" x14ac:dyDescent="0.3">
      <c r="A582">
        <v>580</v>
      </c>
      <c r="B582" s="2">
        <f t="shared" si="72"/>
        <v>13092.55079006772</v>
      </c>
      <c r="C582" s="2">
        <f t="shared" si="73"/>
        <v>3.3836428314754337E-3</v>
      </c>
      <c r="D582" s="2">
        <f t="shared" si="74"/>
        <v>22.389467315452805</v>
      </c>
      <c r="E582" s="3">
        <f t="shared" si="79"/>
        <v>72.301041167815043</v>
      </c>
      <c r="F582" cm="1">
        <f t="array" aca="1" ref="F582" ca="1">INDEX($O$2:$O$34,INT(A582/$Z$1)+1)</f>
        <v>72.576188587143719</v>
      </c>
      <c r="G582" cm="1">
        <f t="array" aca="1" ref="G582" ca="1">INDEX($O$2:$O$34,INT(A582/$Z$1)+2)</f>
        <v>70.364529642824778</v>
      </c>
      <c r="H582">
        <f t="shared" ca="1" si="75"/>
        <v>-6.9114342009966911E-2</v>
      </c>
      <c r="I582">
        <f t="shared" ca="1" si="76"/>
        <v>-0.27645736803986765</v>
      </c>
      <c r="J582" s="3">
        <f t="shared" ca="1" si="77"/>
        <v>72.299731219103847</v>
      </c>
      <c r="K582" s="3">
        <f t="shared" ca="1" si="78"/>
        <v>1.3099487111958297E-3</v>
      </c>
      <c r="L582" s="3"/>
    </row>
    <row r="583" spans="1:12" x14ac:dyDescent="0.3">
      <c r="A583">
        <v>581</v>
      </c>
      <c r="B583" s="2">
        <f t="shared" si="72"/>
        <v>13144.796380090498</v>
      </c>
      <c r="C583" s="2">
        <f t="shared" si="73"/>
        <v>3.3840807038048944E-3</v>
      </c>
      <c r="D583" s="2">
        <f t="shared" si="74"/>
        <v>22.351226928674919</v>
      </c>
      <c r="E583" s="3">
        <f t="shared" si="79"/>
        <v>72.232208471614854</v>
      </c>
      <c r="F583" cm="1">
        <f t="array" aca="1" ref="F583" ca="1">INDEX($O$2:$O$34,INT(A583/$Z$1)+1)</f>
        <v>72.576188587143719</v>
      </c>
      <c r="G583" cm="1">
        <f t="array" aca="1" ref="G583" ca="1">INDEX($O$2:$O$34,INT(A583/$Z$1)+2)</f>
        <v>70.364529642824778</v>
      </c>
      <c r="H583">
        <f t="shared" ca="1" si="75"/>
        <v>-6.9114342009966911E-2</v>
      </c>
      <c r="I583">
        <f t="shared" ca="1" si="76"/>
        <v>-0.34557171004983456</v>
      </c>
      <c r="J583" s="3">
        <f t="shared" ca="1" si="77"/>
        <v>72.23061687709388</v>
      </c>
      <c r="K583" s="3">
        <f t="shared" ca="1" si="78"/>
        <v>1.5915945209741267E-3</v>
      </c>
      <c r="L583" s="3"/>
    </row>
    <row r="584" spans="1:12" x14ac:dyDescent="0.3">
      <c r="A584">
        <v>582</v>
      </c>
      <c r="B584" s="2">
        <f t="shared" si="72"/>
        <v>13197.278911564626</v>
      </c>
      <c r="C584" s="2">
        <f t="shared" si="73"/>
        <v>3.3845188132076314E-3</v>
      </c>
      <c r="D584" s="2">
        <f t="shared" si="74"/>
        <v>22.312975740490515</v>
      </c>
      <c r="E584" s="3">
        <f t="shared" si="79"/>
        <v>72.163356332882927</v>
      </c>
      <c r="F584" cm="1">
        <f t="array" aca="1" ref="F584" ca="1">INDEX($O$2:$O$34,INT(A584/$Z$1)+1)</f>
        <v>72.576188587143719</v>
      </c>
      <c r="G584" cm="1">
        <f t="array" aca="1" ref="G584" ca="1">INDEX($O$2:$O$34,INT(A584/$Z$1)+2)</f>
        <v>70.364529642824778</v>
      </c>
      <c r="H584">
        <f t="shared" ca="1" si="75"/>
        <v>-6.9114342009966911E-2</v>
      </c>
      <c r="I584">
        <f t="shared" ca="1" si="76"/>
        <v>-0.41468605205980147</v>
      </c>
      <c r="J584" s="3">
        <f t="shared" ca="1" si="77"/>
        <v>72.161502535083912</v>
      </c>
      <c r="K584" s="3">
        <f t="shared" ca="1" si="78"/>
        <v>1.8537977990149557E-3</v>
      </c>
      <c r="L584" s="3"/>
    </row>
    <row r="585" spans="1:12" x14ac:dyDescent="0.3">
      <c r="A585">
        <v>583</v>
      </c>
      <c r="B585" s="2">
        <f t="shared" si="72"/>
        <v>13250</v>
      </c>
      <c r="C585" s="2">
        <f t="shared" si="73"/>
        <v>3.3849571633571955E-3</v>
      </c>
      <c r="D585" s="2">
        <f t="shared" si="74"/>
        <v>22.274713442518589</v>
      </c>
      <c r="E585" s="3">
        <f t="shared" si="79"/>
        <v>72.094484196533458</v>
      </c>
      <c r="F585" cm="1">
        <f t="array" aca="1" ref="F585" ca="1">INDEX($O$2:$O$34,INT(A585/$Z$1)+1)</f>
        <v>72.576188587143719</v>
      </c>
      <c r="G585" cm="1">
        <f t="array" aca="1" ref="G585" ca="1">INDEX($O$2:$O$34,INT(A585/$Z$1)+2)</f>
        <v>70.364529642824778</v>
      </c>
      <c r="H585">
        <f t="shared" ca="1" si="75"/>
        <v>-6.9114342009966911E-2</v>
      </c>
      <c r="I585">
        <f t="shared" ca="1" si="76"/>
        <v>-0.48380039406976838</v>
      </c>
      <c r="J585" s="3">
        <f t="shared" ca="1" si="77"/>
        <v>72.092388193073944</v>
      </c>
      <c r="K585" s="3">
        <f t="shared" ca="1" si="78"/>
        <v>2.0960034595134402E-3</v>
      </c>
      <c r="L585" s="3"/>
    </row>
    <row r="586" spans="1:12" x14ac:dyDescent="0.3">
      <c r="A586">
        <v>584</v>
      </c>
      <c r="B586" s="2">
        <f t="shared" si="72"/>
        <v>13302.961275626423</v>
      </c>
      <c r="C586" s="2">
        <f t="shared" si="73"/>
        <v>3.3853957579388287E-3</v>
      </c>
      <c r="D586" s="2">
        <f t="shared" si="74"/>
        <v>22.23643972568874</v>
      </c>
      <c r="E586" s="3">
        <f t="shared" si="79"/>
        <v>72.025591506239735</v>
      </c>
      <c r="F586" cm="1">
        <f t="array" aca="1" ref="F586" ca="1">INDEX($O$2:$O$34,INT(A586/$Z$1)+1)</f>
        <v>72.576188587143719</v>
      </c>
      <c r="G586" cm="1">
        <f t="array" aca="1" ref="G586" ca="1">INDEX($O$2:$O$34,INT(A586/$Z$1)+2)</f>
        <v>70.364529642824778</v>
      </c>
      <c r="H586">
        <f t="shared" ca="1" si="75"/>
        <v>-6.9114342009966911E-2</v>
      </c>
      <c r="I586">
        <f t="shared" ca="1" si="76"/>
        <v>-0.55291473607973529</v>
      </c>
      <c r="J586" s="3">
        <f t="shared" ca="1" si="77"/>
        <v>72.023273851063976</v>
      </c>
      <c r="K586" s="3">
        <f t="shared" ca="1" si="78"/>
        <v>2.3176551757586594E-3</v>
      </c>
      <c r="L586" s="3"/>
    </row>
    <row r="587" spans="1:12" x14ac:dyDescent="0.3">
      <c r="A587">
        <v>585</v>
      </c>
      <c r="B587" s="2">
        <f t="shared" si="72"/>
        <v>13356.164383561643</v>
      </c>
      <c r="C587" s="2">
        <f t="shared" si="73"/>
        <v>3.3858346006496649E-3</v>
      </c>
      <c r="D587" s="2">
        <f t="shared" si="74"/>
        <v>22.198154280224685</v>
      </c>
      <c r="E587" s="3">
        <f t="shared" si="79"/>
        <v>71.956677704404427</v>
      </c>
      <c r="F587" cm="1">
        <f t="array" aca="1" ref="F587" ca="1">INDEX($O$2:$O$34,INT(A587/$Z$1)+1)</f>
        <v>72.576188587143719</v>
      </c>
      <c r="G587" cm="1">
        <f t="array" aca="1" ref="G587" ca="1">INDEX($O$2:$O$34,INT(A587/$Z$1)+2)</f>
        <v>70.364529642824778</v>
      </c>
      <c r="H587">
        <f t="shared" ca="1" si="75"/>
        <v>-6.9114342009966911E-2</v>
      </c>
      <c r="I587">
        <f t="shared" ca="1" si="76"/>
        <v>-0.6220290780897022</v>
      </c>
      <c r="J587" s="3">
        <f t="shared" ca="1" si="77"/>
        <v>71.954159509054023</v>
      </c>
      <c r="K587" s="3">
        <f t="shared" ca="1" si="78"/>
        <v>2.5181953504045396E-3</v>
      </c>
      <c r="L587" s="3"/>
    </row>
    <row r="588" spans="1:12" x14ac:dyDescent="0.3">
      <c r="A588">
        <v>586</v>
      </c>
      <c r="B588" s="2">
        <f t="shared" si="72"/>
        <v>13409.610983981693</v>
      </c>
      <c r="C588" s="2">
        <f t="shared" si="73"/>
        <v>3.3862736951989275E-3</v>
      </c>
      <c r="D588" s="2">
        <f t="shared" si="74"/>
        <v>22.159856795628798</v>
      </c>
      <c r="E588" s="3">
        <f t="shared" si="79"/>
        <v>71.887742232131842</v>
      </c>
      <c r="F588" cm="1">
        <f t="array" aca="1" ref="F588" ca="1">INDEX($O$2:$O$34,INT(A588/$Z$1)+1)</f>
        <v>72.576188587143719</v>
      </c>
      <c r="G588" cm="1">
        <f t="array" aca="1" ref="G588" ca="1">INDEX($O$2:$O$34,INT(A588/$Z$1)+2)</f>
        <v>70.364529642824778</v>
      </c>
      <c r="H588">
        <f t="shared" ca="1" si="75"/>
        <v>-6.9114342009966911E-2</v>
      </c>
      <c r="I588">
        <f t="shared" ca="1" si="76"/>
        <v>-0.69114342009966911</v>
      </c>
      <c r="J588" s="3">
        <f t="shared" ca="1" si="77"/>
        <v>71.885045167044055</v>
      </c>
      <c r="K588" s="3">
        <f t="shared" ca="1" si="78"/>
        <v>2.6970650877871094E-3</v>
      </c>
      <c r="L588" s="3"/>
    </row>
    <row r="589" spans="1:12" x14ac:dyDescent="0.3">
      <c r="A589">
        <v>587</v>
      </c>
      <c r="B589" s="2">
        <f t="shared" si="72"/>
        <v>13463.302752293577</v>
      </c>
      <c r="C589" s="2">
        <f t="shared" si="73"/>
        <v>3.3867130453081326E-3</v>
      </c>
      <c r="D589" s="2">
        <f t="shared" si="74"/>
        <v>22.12154696066591</v>
      </c>
      <c r="E589" s="3">
        <f t="shared" si="79"/>
        <v>71.818784529198638</v>
      </c>
      <c r="F589" cm="1">
        <f t="array" aca="1" ref="F589" ca="1">INDEX($O$2:$O$34,INT(A589/$Z$1)+1)</f>
        <v>72.576188587143719</v>
      </c>
      <c r="G589" cm="1">
        <f t="array" aca="1" ref="G589" ca="1">INDEX($O$2:$O$34,INT(A589/$Z$1)+2)</f>
        <v>70.364529642824778</v>
      </c>
      <c r="H589">
        <f t="shared" ca="1" si="75"/>
        <v>-6.9114342009966911E-2</v>
      </c>
      <c r="I589">
        <f t="shared" ca="1" si="76"/>
        <v>-0.76025776210963603</v>
      </c>
      <c r="J589" s="3">
        <f t="shared" ca="1" si="77"/>
        <v>71.815930825034087</v>
      </c>
      <c r="K589" s="3">
        <f t="shared" ca="1" si="78"/>
        <v>2.8537041645506633E-3</v>
      </c>
      <c r="L589" s="3"/>
    </row>
    <row r="590" spans="1:12" x14ac:dyDescent="0.3">
      <c r="A590">
        <v>588</v>
      </c>
      <c r="B590" s="2">
        <f t="shared" si="72"/>
        <v>13517.241379310344</v>
      </c>
      <c r="C590" s="2">
        <f t="shared" si="73"/>
        <v>3.38715265471129E-3</v>
      </c>
      <c r="D590" s="2">
        <f t="shared" si="74"/>
        <v>22.083224463347051</v>
      </c>
      <c r="E590" s="3">
        <f t="shared" si="79"/>
        <v>71.749804034024692</v>
      </c>
      <c r="F590" cm="1">
        <f t="array" aca="1" ref="F590" ca="1">INDEX($O$2:$O$34,INT(A590/$Z$1)+1)</f>
        <v>72.576188587143719</v>
      </c>
      <c r="G590" cm="1">
        <f t="array" aca="1" ref="G590" ca="1">INDEX($O$2:$O$34,INT(A590/$Z$1)+2)</f>
        <v>70.364529642824778</v>
      </c>
      <c r="H590">
        <f t="shared" ca="1" si="75"/>
        <v>-6.9114342009966911E-2</v>
      </c>
      <c r="I590">
        <f t="shared" ca="1" si="76"/>
        <v>-0.82937210411960294</v>
      </c>
      <c r="J590" s="3">
        <f t="shared" ca="1" si="77"/>
        <v>71.746816483024119</v>
      </c>
      <c r="K590" s="3">
        <f t="shared" ca="1" si="78"/>
        <v>2.9875510005723527E-3</v>
      </c>
      <c r="L590" s="3"/>
    </row>
    <row r="591" spans="1:12" x14ac:dyDescent="0.3">
      <c r="A591">
        <v>589</v>
      </c>
      <c r="B591" s="2">
        <f t="shared" si="72"/>
        <v>13571.428571428571</v>
      </c>
      <c r="C591" s="2">
        <f t="shared" si="73"/>
        <v>3.3875925271551104E-3</v>
      </c>
      <c r="D591" s="2">
        <f t="shared" si="74"/>
        <v>22.04488899091325</v>
      </c>
      <c r="E591" s="3">
        <f t="shared" si="79"/>
        <v>71.680800183643854</v>
      </c>
      <c r="F591" cm="1">
        <f t="array" aca="1" ref="F591" ca="1">INDEX($O$2:$O$34,INT(A591/$Z$1)+1)</f>
        <v>72.576188587143719</v>
      </c>
      <c r="G591" cm="1">
        <f t="array" aca="1" ref="G591" ca="1">INDEX($O$2:$O$34,INT(A591/$Z$1)+2)</f>
        <v>70.364529642824778</v>
      </c>
      <c r="H591">
        <f t="shared" ca="1" si="75"/>
        <v>-6.9114342009966911E-2</v>
      </c>
      <c r="I591">
        <f t="shared" ca="1" si="76"/>
        <v>-0.89848644612956985</v>
      </c>
      <c r="J591" s="3">
        <f t="shared" ca="1" si="77"/>
        <v>71.677702141014151</v>
      </c>
      <c r="K591" s="3">
        <f t="shared" ca="1" si="78"/>
        <v>3.0980426297020358E-3</v>
      </c>
      <c r="L591" s="3"/>
    </row>
    <row r="592" spans="1:12" x14ac:dyDescent="0.3">
      <c r="A592">
        <v>590</v>
      </c>
      <c r="B592" s="2">
        <f t="shared" si="72"/>
        <v>13625.866050808314</v>
      </c>
      <c r="C592" s="2">
        <f t="shared" si="73"/>
        <v>3.3880326663992084E-3</v>
      </c>
      <c r="D592" s="2">
        <f t="shared" si="74"/>
        <v>22.006540229819336</v>
      </c>
      <c r="E592" s="3">
        <f t="shared" si="79"/>
        <v>71.6117724136748</v>
      </c>
      <c r="F592" cm="1">
        <f t="array" aca="1" ref="F592" ca="1">INDEX($O$2:$O$34,INT(A592/$Z$1)+1)</f>
        <v>72.576188587143719</v>
      </c>
      <c r="G592" cm="1">
        <f t="array" aca="1" ref="G592" ca="1">INDEX($O$2:$O$34,INT(A592/$Z$1)+2)</f>
        <v>70.364529642824778</v>
      </c>
      <c r="H592">
        <f t="shared" ca="1" si="75"/>
        <v>-6.9114342009966911E-2</v>
      </c>
      <c r="I592">
        <f t="shared" ca="1" si="76"/>
        <v>-0.96760078813953676</v>
      </c>
      <c r="J592" s="3">
        <f t="shared" ca="1" si="77"/>
        <v>71.608587799004184</v>
      </c>
      <c r="K592" s="3">
        <f t="shared" ca="1" si="78"/>
        <v>3.1846146706158152E-3</v>
      </c>
      <c r="L592" s="3"/>
    </row>
    <row r="593" spans="1:12" x14ac:dyDescent="0.3">
      <c r="A593">
        <v>591</v>
      </c>
      <c r="B593" s="2">
        <f t="shared" si="72"/>
        <v>13680.555555555555</v>
      </c>
      <c r="C593" s="2">
        <f t="shared" si="73"/>
        <v>3.3884730762163136E-3</v>
      </c>
      <c r="D593" s="2">
        <f t="shared" si="74"/>
        <v>21.968177865717223</v>
      </c>
      <c r="E593" s="3">
        <f t="shared" si="79"/>
        <v>71.542720158291004</v>
      </c>
      <c r="F593" cm="1">
        <f t="array" aca="1" ref="F593" ca="1">INDEX($O$2:$O$34,INT(A593/$Z$1)+1)</f>
        <v>72.576188587143719</v>
      </c>
      <c r="G593" cm="1">
        <f t="array" aca="1" ref="G593" ca="1">INDEX($O$2:$O$34,INT(A593/$Z$1)+2)</f>
        <v>70.364529642824778</v>
      </c>
      <c r="H593">
        <f t="shared" ca="1" si="75"/>
        <v>-6.9114342009966911E-2</v>
      </c>
      <c r="I593">
        <f t="shared" ca="1" si="76"/>
        <v>-1.0367151301495037</v>
      </c>
      <c r="J593" s="3">
        <f t="shared" ca="1" si="77"/>
        <v>71.539473456994216</v>
      </c>
      <c r="K593" s="3">
        <f t="shared" ca="1" si="78"/>
        <v>3.2467012967885012E-3</v>
      </c>
      <c r="L593" s="3"/>
    </row>
    <row r="594" spans="1:12" x14ac:dyDescent="0.3">
      <c r="A594">
        <v>592</v>
      </c>
      <c r="B594" s="2">
        <f t="shared" si="72"/>
        <v>13735.498839907192</v>
      </c>
      <c r="C594" s="2">
        <f t="shared" si="73"/>
        <v>3.3889137603924768E-3</v>
      </c>
      <c r="D594" s="2">
        <f t="shared" si="74"/>
        <v>21.929801583439541</v>
      </c>
      <c r="E594" s="3">
        <f t="shared" si="79"/>
        <v>71.473642850191169</v>
      </c>
      <c r="F594" cm="1">
        <f t="array" aca="1" ref="F594" ca="1">INDEX($O$2:$O$34,INT(A594/$Z$1)+1)</f>
        <v>72.576188587143719</v>
      </c>
      <c r="G594" cm="1">
        <f t="array" aca="1" ref="G594" ca="1">INDEX($O$2:$O$34,INT(A594/$Z$1)+2)</f>
        <v>70.364529642824778</v>
      </c>
      <c r="H594">
        <f t="shared" ca="1" si="75"/>
        <v>-6.9114342009966911E-2</v>
      </c>
      <c r="I594">
        <f t="shared" ca="1" si="76"/>
        <v>-1.1058294721594706</v>
      </c>
      <c r="J594" s="3">
        <f t="shared" ca="1" si="77"/>
        <v>71.470359114984248</v>
      </c>
      <c r="K594" s="3">
        <f t="shared" ca="1" si="78"/>
        <v>3.2837352069208237E-3</v>
      </c>
      <c r="L594" s="3"/>
    </row>
    <row r="595" spans="1:12" x14ac:dyDescent="0.3">
      <c r="A595">
        <v>593</v>
      </c>
      <c r="B595" s="2">
        <f t="shared" si="72"/>
        <v>13790.697674418605</v>
      </c>
      <c r="C595" s="2">
        <f t="shared" si="73"/>
        <v>3.3893547227272836E-3</v>
      </c>
      <c r="D595" s="2">
        <f t="shared" si="74"/>
        <v>21.891411066982812</v>
      </c>
      <c r="E595" s="3">
        <f t="shared" si="79"/>
        <v>71.404539920569064</v>
      </c>
      <c r="F595" cm="1">
        <f t="array" aca="1" ref="F595" ca="1">INDEX($O$2:$O$34,INT(A595/$Z$1)+1)</f>
        <v>72.576188587143719</v>
      </c>
      <c r="G595" cm="1">
        <f t="array" aca="1" ref="G595" ca="1">INDEX($O$2:$O$34,INT(A595/$Z$1)+2)</f>
        <v>70.364529642824778</v>
      </c>
      <c r="H595">
        <f t="shared" ca="1" si="75"/>
        <v>-6.9114342009966911E-2</v>
      </c>
      <c r="I595">
        <f t="shared" ca="1" si="76"/>
        <v>-1.1749438141694375</v>
      </c>
      <c r="J595" s="3">
        <f t="shared" ca="1" si="77"/>
        <v>71.40124477297428</v>
      </c>
      <c r="K595" s="3">
        <f t="shared" ca="1" si="78"/>
        <v>3.2951475947839981E-3</v>
      </c>
      <c r="L595" s="3"/>
    </row>
    <row r="596" spans="1:12" x14ac:dyDescent="0.3">
      <c r="A596">
        <v>594</v>
      </c>
      <c r="B596" s="2">
        <f t="shared" si="72"/>
        <v>13846.153846153846</v>
      </c>
      <c r="C596" s="2">
        <f t="shared" si="73"/>
        <v>3.3897959670340667E-3</v>
      </c>
      <c r="D596" s="2">
        <f t="shared" si="74"/>
        <v>21.853005999490676</v>
      </c>
      <c r="E596" s="3">
        <f t="shared" si="79"/>
        <v>71.33541079908322</v>
      </c>
      <c r="F596" cm="1">
        <f t="array" aca="1" ref="F596" ca="1">INDEX($O$2:$O$34,INT(A596/$Z$1)+1)</f>
        <v>72.576188587143719</v>
      </c>
      <c r="G596" cm="1">
        <f t="array" aca="1" ref="G596" ca="1">INDEX($O$2:$O$34,INT(A596/$Z$1)+2)</f>
        <v>70.364529642824778</v>
      </c>
      <c r="H596">
        <f t="shared" ca="1" si="75"/>
        <v>-6.9114342009966911E-2</v>
      </c>
      <c r="I596">
        <f t="shared" ca="1" si="76"/>
        <v>-1.2440581561794044</v>
      </c>
      <c r="J596" s="3">
        <f t="shared" ca="1" si="77"/>
        <v>71.332130430964312</v>
      </c>
      <c r="K596" s="3">
        <f t="shared" ca="1" si="78"/>
        <v>3.2803681189079725E-3</v>
      </c>
      <c r="L596" s="3"/>
    </row>
    <row r="597" spans="1:12" x14ac:dyDescent="0.3">
      <c r="A597">
        <v>595</v>
      </c>
      <c r="B597" s="2">
        <f t="shared" si="72"/>
        <v>13901.869158878504</v>
      </c>
      <c r="C597" s="2">
        <f t="shared" si="73"/>
        <v>3.3902374971401194E-3</v>
      </c>
      <c r="D597" s="2">
        <f t="shared" si="74"/>
        <v>21.814586063237016</v>
      </c>
      <c r="E597" s="3">
        <f t="shared" si="79"/>
        <v>71.266254913826629</v>
      </c>
      <c r="F597" cm="1">
        <f t="array" aca="1" ref="F597" ca="1">INDEX($O$2:$O$34,INT(A597/$Z$1)+1)</f>
        <v>72.576188587143719</v>
      </c>
      <c r="G597" cm="1">
        <f t="array" aca="1" ref="G597" ca="1">INDEX($O$2:$O$34,INT(A597/$Z$1)+2)</f>
        <v>70.364529642824778</v>
      </c>
      <c r="H597">
        <f t="shared" ca="1" si="75"/>
        <v>-6.9114342009966911E-2</v>
      </c>
      <c r="I597">
        <f t="shared" ca="1" si="76"/>
        <v>-1.3131724981893713</v>
      </c>
      <c r="J597" s="3">
        <f t="shared" ca="1" si="77"/>
        <v>71.263016088954345</v>
      </c>
      <c r="K597" s="3">
        <f t="shared" ca="1" si="78"/>
        <v>3.2388248722838853E-3</v>
      </c>
      <c r="L597" s="3"/>
    </row>
    <row r="598" spans="1:12" x14ac:dyDescent="0.3">
      <c r="A598">
        <v>596</v>
      </c>
      <c r="B598" s="2">
        <f t="shared" si="72"/>
        <v>13957.84543325527</v>
      </c>
      <c r="C598" s="2">
        <f t="shared" si="73"/>
        <v>3.3906793168869132E-3</v>
      </c>
      <c r="D598" s="2">
        <f t="shared" si="74"/>
        <v>21.77615093960901</v>
      </c>
      <c r="E598" s="3">
        <f t="shared" si="79"/>
        <v>71.197071691296216</v>
      </c>
      <c r="F598" cm="1">
        <f t="array" aca="1" ref="F598" ca="1">INDEX($O$2:$O$34,INT(A598/$Z$1)+1)</f>
        <v>72.576188587143719</v>
      </c>
      <c r="G598" cm="1">
        <f t="array" aca="1" ref="G598" ca="1">INDEX($O$2:$O$34,INT(A598/$Z$1)+2)</f>
        <v>70.364529642824778</v>
      </c>
      <c r="H598">
        <f t="shared" ca="1" si="75"/>
        <v>-6.9114342009966911E-2</v>
      </c>
      <c r="I598">
        <f t="shared" ca="1" si="76"/>
        <v>-1.3822868401993382</v>
      </c>
      <c r="J598" s="3">
        <f t="shared" ca="1" si="77"/>
        <v>71.193901746944377</v>
      </c>
      <c r="K598" s="3">
        <f t="shared" ca="1" si="78"/>
        <v>3.169944351839149E-3</v>
      </c>
      <c r="L598" s="3"/>
    </row>
    <row r="599" spans="1:12" x14ac:dyDescent="0.3">
      <c r="A599">
        <v>597</v>
      </c>
      <c r="B599" s="2">
        <f t="shared" si="72"/>
        <v>14014.084507042253</v>
      </c>
      <c r="C599" s="2">
        <f t="shared" si="73"/>
        <v>3.391121430130315E-3</v>
      </c>
      <c r="D599" s="2">
        <f t="shared" si="74"/>
        <v>21.737700309089746</v>
      </c>
      <c r="E599" s="3">
        <f t="shared" si="79"/>
        <v>71.12786055636154</v>
      </c>
      <c r="F599" cm="1">
        <f t="array" aca="1" ref="F599" ca="1">INDEX($O$2:$O$34,INT(A599/$Z$1)+1)</f>
        <v>72.576188587143719</v>
      </c>
      <c r="G599" cm="1">
        <f t="array" aca="1" ref="G599" ca="1">INDEX($O$2:$O$34,INT(A599/$Z$1)+2)</f>
        <v>70.364529642824778</v>
      </c>
      <c r="H599">
        <f t="shared" ca="1" si="75"/>
        <v>-6.9114342009966911E-2</v>
      </c>
      <c r="I599">
        <f t="shared" ca="1" si="76"/>
        <v>-1.4514011822093051</v>
      </c>
      <c r="J599" s="3">
        <f t="shared" ca="1" si="77"/>
        <v>71.124787404934409</v>
      </c>
      <c r="K599" s="3">
        <f t="shared" ca="1" si="78"/>
        <v>3.0731514271309379E-3</v>
      </c>
      <c r="L599" s="3"/>
    </row>
    <row r="600" spans="1:12" x14ac:dyDescent="0.3">
      <c r="A600">
        <v>598</v>
      </c>
      <c r="B600" s="2">
        <f t="shared" si="72"/>
        <v>14070.588235294117</v>
      </c>
      <c r="C600" s="2">
        <f t="shared" si="73"/>
        <v>3.3915638407408088E-3</v>
      </c>
      <c r="D600" s="2">
        <f t="shared" si="74"/>
        <v>21.699233851241104</v>
      </c>
      <c r="E600" s="3">
        <f t="shared" si="79"/>
        <v>71.058620932233993</v>
      </c>
      <c r="F600" cm="1">
        <f t="array" aca="1" ref="F600" ca="1">INDEX($O$2:$O$34,INT(A600/$Z$1)+1)</f>
        <v>72.576188587143719</v>
      </c>
      <c r="G600" cm="1">
        <f t="array" aca="1" ref="G600" ca="1">INDEX($O$2:$O$34,INT(A600/$Z$1)+2)</f>
        <v>70.364529642824778</v>
      </c>
      <c r="H600">
        <f t="shared" ca="1" si="75"/>
        <v>-6.9114342009966911E-2</v>
      </c>
      <c r="I600">
        <f t="shared" ca="1" si="76"/>
        <v>-1.5205155242192721</v>
      </c>
      <c r="J600" s="3">
        <f t="shared" ca="1" si="77"/>
        <v>71.055673062924441</v>
      </c>
      <c r="K600" s="3">
        <f t="shared" ca="1" si="78"/>
        <v>2.9478693095512654E-3</v>
      </c>
      <c r="L600" s="3"/>
    </row>
    <row r="601" spans="1:12" x14ac:dyDescent="0.3">
      <c r="A601">
        <v>599</v>
      </c>
      <c r="B601" s="2">
        <f t="shared" si="72"/>
        <v>14127.358490566037</v>
      </c>
      <c r="C601" s="2">
        <f t="shared" si="73"/>
        <v>3.3920065526037149E-3</v>
      </c>
      <c r="D601" s="2">
        <f t="shared" si="74"/>
        <v>21.660751244686423</v>
      </c>
      <c r="E601" s="3">
        <f t="shared" si="79"/>
        <v>70.989352240435565</v>
      </c>
      <c r="F601" cm="1">
        <f t="array" aca="1" ref="F601" ca="1">INDEX($O$2:$O$34,INT(A601/$Z$1)+1)</f>
        <v>72.576188587143719</v>
      </c>
      <c r="G601" cm="1">
        <f t="array" aca="1" ref="G601" ca="1">INDEX($O$2:$O$34,INT(A601/$Z$1)+2)</f>
        <v>70.364529642824778</v>
      </c>
      <c r="H601">
        <f t="shared" ca="1" si="75"/>
        <v>-6.9114342009966911E-2</v>
      </c>
      <c r="I601">
        <f t="shared" ca="1" si="76"/>
        <v>-1.589629866229239</v>
      </c>
      <c r="J601" s="3">
        <f t="shared" ca="1" si="77"/>
        <v>70.986558720914473</v>
      </c>
      <c r="K601" s="3">
        <f t="shared" ca="1" si="78"/>
        <v>2.7935195210915253E-3</v>
      </c>
      <c r="L601" s="3"/>
    </row>
    <row r="602" spans="1:12" x14ac:dyDescent="0.3">
      <c r="A602">
        <v>600</v>
      </c>
      <c r="B602" s="2">
        <f t="shared" si="72"/>
        <v>14184.397163120568</v>
      </c>
      <c r="C602" s="2">
        <f t="shared" si="73"/>
        <v>3.3924495696194168E-3</v>
      </c>
      <c r="D602" s="2">
        <f t="shared" si="74"/>
        <v>21.622252167092768</v>
      </c>
      <c r="E602" s="3">
        <f t="shared" si="79"/>
        <v>70.920053900766987</v>
      </c>
      <c r="F602" cm="1">
        <f t="array" aca="1" ref="F602" ca="1">INDEX($O$2:$O$34,INT(A602/$Z$1)+1)</f>
        <v>72.576188587143719</v>
      </c>
      <c r="G602" cm="1">
        <f t="array" aca="1" ref="G602" ca="1">INDEX($O$2:$O$34,INT(A602/$Z$1)+2)</f>
        <v>70.364529642824778</v>
      </c>
      <c r="H602">
        <f t="shared" ca="1" si="75"/>
        <v>-6.9114342009966911E-2</v>
      </c>
      <c r="I602">
        <f t="shared" ca="1" si="76"/>
        <v>-1.6587442082392059</v>
      </c>
      <c r="J602" s="3">
        <f t="shared" ca="1" si="77"/>
        <v>70.91744437890452</v>
      </c>
      <c r="K602" s="3">
        <f t="shared" ca="1" si="78"/>
        <v>2.6095218624675454E-3</v>
      </c>
      <c r="L602" s="3"/>
    </row>
    <row r="603" spans="1:12" x14ac:dyDescent="0.3">
      <c r="A603">
        <v>601</v>
      </c>
      <c r="B603" s="2">
        <f t="shared" si="72"/>
        <v>14241.706161137441</v>
      </c>
      <c r="C603" s="2">
        <f t="shared" si="73"/>
        <v>3.3928928957035849E-3</v>
      </c>
      <c r="D603" s="2">
        <f t="shared" si="74"/>
        <v>21.583736295153471</v>
      </c>
      <c r="E603" s="3">
        <f t="shared" si="79"/>
        <v>70.850725331276251</v>
      </c>
      <c r="F603" cm="1">
        <f t="array" aca="1" ref="F603" ca="1">INDEX($O$2:$O$34,INT(A603/$Z$1)+1)</f>
        <v>72.576188587143719</v>
      </c>
      <c r="G603" cm="1">
        <f t="array" aca="1" ref="G603" ca="1">INDEX($O$2:$O$34,INT(A603/$Z$1)+2)</f>
        <v>70.364529642824778</v>
      </c>
      <c r="H603">
        <f t="shared" ca="1" si="75"/>
        <v>-6.9114342009966911E-2</v>
      </c>
      <c r="I603">
        <f t="shared" ca="1" si="76"/>
        <v>-1.7278585502491728</v>
      </c>
      <c r="J603" s="3">
        <f t="shared" ca="1" si="77"/>
        <v>70.848330036894552</v>
      </c>
      <c r="K603" s="3">
        <f t="shared" ca="1" si="78"/>
        <v>2.3952943816993866E-3</v>
      </c>
      <c r="L603" s="3"/>
    </row>
    <row r="604" spans="1:12" x14ac:dyDescent="0.3">
      <c r="A604">
        <v>602</v>
      </c>
      <c r="B604" s="2">
        <f t="shared" si="72"/>
        <v>14299.287410926367</v>
      </c>
      <c r="C604" s="2">
        <f t="shared" si="73"/>
        <v>3.3933365347874052E-3</v>
      </c>
      <c r="D604" s="2">
        <f t="shared" si="74"/>
        <v>21.54520330457018</v>
      </c>
      <c r="E604" s="3">
        <f t="shared" si="79"/>
        <v>70.781365948226323</v>
      </c>
      <c r="F604" cm="1">
        <f t="array" aca="1" ref="F604" ca="1">INDEX($O$2:$O$34,INT(A604/$Z$1)+1)</f>
        <v>72.576188587143719</v>
      </c>
      <c r="G604" cm="1">
        <f t="array" aca="1" ref="G604" ca="1">INDEX($O$2:$O$34,INT(A604/$Z$1)+2)</f>
        <v>70.364529642824778</v>
      </c>
      <c r="H604">
        <f t="shared" ca="1" si="75"/>
        <v>-6.9114342009966911E-2</v>
      </c>
      <c r="I604">
        <f t="shared" ca="1" si="76"/>
        <v>-1.7969728922591397</v>
      </c>
      <c r="J604" s="3">
        <f t="shared" ca="1" si="77"/>
        <v>70.779215694884584</v>
      </c>
      <c r="K604" s="3">
        <f t="shared" ca="1" si="78"/>
        <v>2.1502533417390168E-3</v>
      </c>
      <c r="L604" s="3"/>
    </row>
    <row r="605" spans="1:12" x14ac:dyDescent="0.3">
      <c r="A605">
        <v>603</v>
      </c>
      <c r="B605" s="2">
        <f t="shared" si="72"/>
        <v>14357.142857142857</v>
      </c>
      <c r="C605" s="2">
        <f t="shared" si="73"/>
        <v>3.393780490817809E-3</v>
      </c>
      <c r="D605" s="2">
        <f t="shared" si="74"/>
        <v>21.506652870034998</v>
      </c>
      <c r="E605" s="3">
        <f t="shared" si="79"/>
        <v>70.711975166062999</v>
      </c>
      <c r="F605" cm="1">
        <f t="array" aca="1" ref="F605" ca="1">INDEX($O$2:$O$34,INT(A605/$Z$1)+1)</f>
        <v>72.576188587143719</v>
      </c>
      <c r="G605" cm="1">
        <f t="array" aca="1" ref="G605" ca="1">INDEX($O$2:$O$34,INT(A605/$Z$1)+2)</f>
        <v>70.364529642824778</v>
      </c>
      <c r="H605">
        <f t="shared" ca="1" si="75"/>
        <v>-6.9114342009966911E-2</v>
      </c>
      <c r="I605">
        <f t="shared" ca="1" si="76"/>
        <v>-1.8660872342691066</v>
      </c>
      <c r="J605" s="3">
        <f t="shared" ca="1" si="77"/>
        <v>70.710101352874617</v>
      </c>
      <c r="K605" s="3">
        <f t="shared" ca="1" si="78"/>
        <v>1.8738131883822007E-3</v>
      </c>
      <c r="L605" s="3"/>
    </row>
    <row r="606" spans="1:12" x14ac:dyDescent="0.3">
      <c r="A606">
        <v>604</v>
      </c>
      <c r="B606" s="2">
        <f t="shared" si="72"/>
        <v>14415.274463007159</v>
      </c>
      <c r="C606" s="2">
        <f t="shared" si="73"/>
        <v>3.3942247677577041E-3</v>
      </c>
      <c r="D606" s="2">
        <f t="shared" si="74"/>
        <v>21.468084665212359</v>
      </c>
      <c r="E606" s="3">
        <f t="shared" si="79"/>
        <v>70.642552397382246</v>
      </c>
      <c r="F606" cm="1">
        <f t="array" aca="1" ref="F606" ca="1">INDEX($O$2:$O$34,INT(A606/$Z$1)+1)</f>
        <v>72.576188587143719</v>
      </c>
      <c r="G606" cm="1">
        <f t="array" aca="1" ref="G606" ca="1">INDEX($O$2:$O$34,INT(A606/$Z$1)+2)</f>
        <v>70.364529642824778</v>
      </c>
      <c r="H606">
        <f t="shared" ca="1" si="75"/>
        <v>-6.9114342009966911E-2</v>
      </c>
      <c r="I606">
        <f t="shared" ca="1" si="76"/>
        <v>-1.9352015762790735</v>
      </c>
      <c r="J606" s="3">
        <f t="shared" ca="1" si="77"/>
        <v>70.640987010864649</v>
      </c>
      <c r="K606" s="3">
        <f t="shared" ca="1" si="78"/>
        <v>1.5653865175977444E-3</v>
      </c>
      <c r="L606" s="3"/>
    </row>
    <row r="607" spans="1:12" x14ac:dyDescent="0.3">
      <c r="A607">
        <v>605</v>
      </c>
      <c r="B607" s="2">
        <f t="shared" si="72"/>
        <v>14473.684210526315</v>
      </c>
      <c r="C607" s="2">
        <f t="shared" si="73"/>
        <v>3.3946693695862096E-3</v>
      </c>
      <c r="D607" s="2">
        <f t="shared" si="74"/>
        <v>21.429498362721006</v>
      </c>
      <c r="E607" s="3">
        <f t="shared" si="79"/>
        <v>70.573097052897808</v>
      </c>
      <c r="F607" cm="1">
        <f t="array" aca="1" ref="F607" ca="1">INDEX($O$2:$O$34,INT(A607/$Z$1)+1)</f>
        <v>72.576188587143719</v>
      </c>
      <c r="G607" cm="1">
        <f t="array" aca="1" ref="G607" ca="1">INDEX($O$2:$O$34,INT(A607/$Z$1)+2)</f>
        <v>70.364529642824778</v>
      </c>
      <c r="H607">
        <f t="shared" ca="1" si="75"/>
        <v>-6.9114342009966911E-2</v>
      </c>
      <c r="I607">
        <f t="shared" ca="1" si="76"/>
        <v>-2.0043159182890404</v>
      </c>
      <c r="J607" s="3">
        <f t="shared" ca="1" si="77"/>
        <v>70.571872668854681</v>
      </c>
      <c r="K607" s="3">
        <f t="shared" ca="1" si="78"/>
        <v>1.2243840431267472E-3</v>
      </c>
      <c r="L607" s="3"/>
    </row>
    <row r="608" spans="1:12" x14ac:dyDescent="0.3">
      <c r="A608">
        <v>606</v>
      </c>
      <c r="B608" s="2">
        <f t="shared" si="72"/>
        <v>14532.374100719424</v>
      </c>
      <c r="C608" s="2">
        <f t="shared" si="73"/>
        <v>3.3951143002988919E-3</v>
      </c>
      <c r="D608" s="2">
        <f t="shared" si="74"/>
        <v>21.3908936341154</v>
      </c>
      <c r="E608" s="3">
        <f t="shared" si="79"/>
        <v>70.503608541407715</v>
      </c>
      <c r="F608" cm="1">
        <f t="array" aca="1" ref="F608" ca="1">INDEX($O$2:$O$34,INT(A608/$Z$1)+1)</f>
        <v>72.576188587143719</v>
      </c>
      <c r="G608" cm="1">
        <f t="array" aca="1" ref="G608" ca="1">INDEX($O$2:$O$34,INT(A608/$Z$1)+2)</f>
        <v>70.364529642824778</v>
      </c>
      <c r="H608">
        <f t="shared" ca="1" si="75"/>
        <v>-6.9114342009966911E-2</v>
      </c>
      <c r="I608">
        <f t="shared" ca="1" si="76"/>
        <v>-2.0734302602990073</v>
      </c>
      <c r="J608" s="3">
        <f t="shared" ca="1" si="77"/>
        <v>70.502758326844713</v>
      </c>
      <c r="K608" s="3">
        <f t="shared" ca="1" si="78"/>
        <v>8.5021456300182763E-4</v>
      </c>
      <c r="L608" s="3"/>
    </row>
    <row r="609" spans="1:12" x14ac:dyDescent="0.3">
      <c r="A609">
        <v>607</v>
      </c>
      <c r="B609" s="2">
        <f t="shared" si="72"/>
        <v>14591.346153846154</v>
      </c>
      <c r="C609" s="2">
        <f t="shared" si="73"/>
        <v>3.3955595639080026E-3</v>
      </c>
      <c r="D609" s="2">
        <f t="shared" si="74"/>
        <v>21.352270149867252</v>
      </c>
      <c r="E609" s="3">
        <f t="shared" si="79"/>
        <v>70.434086269761053</v>
      </c>
      <c r="F609" cm="1">
        <f t="array" aca="1" ref="F609" ca="1">INDEX($O$2:$O$34,INT(A609/$Z$1)+1)</f>
        <v>72.576188587143719</v>
      </c>
      <c r="G609" cm="1">
        <f t="array" aca="1" ref="G609" ca="1">INDEX($O$2:$O$34,INT(A609/$Z$1)+2)</f>
        <v>70.364529642824778</v>
      </c>
      <c r="H609">
        <f t="shared" ca="1" si="75"/>
        <v>-6.9114342009966911E-2</v>
      </c>
      <c r="I609">
        <f t="shared" ca="1" si="76"/>
        <v>-2.1425446023089743</v>
      </c>
      <c r="J609" s="3">
        <f t="shared" ca="1" si="77"/>
        <v>70.433643984834745</v>
      </c>
      <c r="K609" s="3">
        <f t="shared" ca="1" si="78"/>
        <v>4.4228492630793426E-4</v>
      </c>
      <c r="L609" s="3"/>
    </row>
    <row r="610" spans="1:12" x14ac:dyDescent="0.3">
      <c r="A610">
        <v>608</v>
      </c>
      <c r="B610" s="2">
        <f t="shared" si="72"/>
        <v>14650.602409638554</v>
      </c>
      <c r="C610" s="2">
        <f t="shared" si="73"/>
        <v>3.3960051644427182E-3</v>
      </c>
      <c r="D610" s="2">
        <f t="shared" si="74"/>
        <v>21.313627579347099</v>
      </c>
      <c r="E610" s="3">
        <f t="shared" si="79"/>
        <v>70.364529642824778</v>
      </c>
      <c r="F610" cm="1">
        <f t="array" aca="1" ref="F610" ca="1">INDEX($O$2:$O$34,INT(A610/$Z$1)+1)</f>
        <v>70.364529642824778</v>
      </c>
      <c r="G610" cm="1">
        <f t="array" aca="1" ref="G610" ca="1">INDEX($O$2:$O$34,INT(A610/$Z$1)+2)</f>
        <v>68.116899560530953</v>
      </c>
      <c r="H610">
        <f t="shared" ca="1" si="75"/>
        <v>-7.0238440071682007E-2</v>
      </c>
      <c r="I610">
        <f t="shared" ca="1" si="76"/>
        <v>0</v>
      </c>
      <c r="J610" s="3">
        <f t="shared" ca="1" si="77"/>
        <v>70.364529642824778</v>
      </c>
      <c r="K610" s="3">
        <f t="shared" ca="1" si="78"/>
        <v>0</v>
      </c>
      <c r="L610" s="3"/>
    </row>
    <row r="611" spans="1:12" x14ac:dyDescent="0.3">
      <c r="A611">
        <v>609</v>
      </c>
      <c r="B611" s="2">
        <f t="shared" si="72"/>
        <v>14710.144927536232</v>
      </c>
      <c r="C611" s="2">
        <f t="shared" si="73"/>
        <v>3.3964511059493851E-3</v>
      </c>
      <c r="D611" s="2">
        <f t="shared" si="74"/>
        <v>21.274965590805209</v>
      </c>
      <c r="E611" s="3">
        <f t="shared" si="79"/>
        <v>70.294938063449379</v>
      </c>
      <c r="F611" cm="1">
        <f t="array" aca="1" ref="F611" ca="1">INDEX($O$2:$O$34,INT(A611/$Z$1)+1)</f>
        <v>70.364529642824778</v>
      </c>
      <c r="G611" cm="1">
        <f t="array" aca="1" ref="G611" ca="1">INDEX($O$2:$O$34,INT(A611/$Z$1)+2)</f>
        <v>68.116899560530953</v>
      </c>
      <c r="H611">
        <f t="shared" ca="1" si="75"/>
        <v>-7.0238440071682007E-2</v>
      </c>
      <c r="I611">
        <f t="shared" ca="1" si="76"/>
        <v>-7.0238440071682007E-2</v>
      </c>
      <c r="J611" s="3">
        <f t="shared" ca="1" si="77"/>
        <v>70.294291202753101</v>
      </c>
      <c r="K611" s="3">
        <f t="shared" ca="1" si="78"/>
        <v>6.4686069627839515E-4</v>
      </c>
      <c r="L611" s="3"/>
    </row>
    <row r="612" spans="1:12" x14ac:dyDescent="0.3">
      <c r="A612">
        <v>610</v>
      </c>
      <c r="B612" s="2">
        <f t="shared" si="72"/>
        <v>14769.975786924939</v>
      </c>
      <c r="C612" s="2">
        <f t="shared" si="73"/>
        <v>3.396897392491762E-3</v>
      </c>
      <c r="D612" s="2">
        <f t="shared" si="74"/>
        <v>21.236283851352823</v>
      </c>
      <c r="E612" s="3">
        <f t="shared" si="79"/>
        <v>70.225310932435079</v>
      </c>
      <c r="F612" cm="1">
        <f t="array" aca="1" ref="F612" ca="1">INDEX($O$2:$O$34,INT(A612/$Z$1)+1)</f>
        <v>70.364529642824778</v>
      </c>
      <c r="G612" cm="1">
        <f t="array" aca="1" ref="G612" ca="1">INDEX($O$2:$O$34,INT(A612/$Z$1)+2)</f>
        <v>68.116899560530953</v>
      </c>
      <c r="H612">
        <f t="shared" ca="1" si="75"/>
        <v>-7.0238440071682007E-2</v>
      </c>
      <c r="I612">
        <f t="shared" ca="1" si="76"/>
        <v>-0.14047688014336401</v>
      </c>
      <c r="J612" s="3">
        <f t="shared" ca="1" si="77"/>
        <v>70.22405276268141</v>
      </c>
      <c r="K612" s="3">
        <f t="shared" ca="1" si="78"/>
        <v>1.2581697536688807E-3</v>
      </c>
      <c r="L612" s="3"/>
    </row>
    <row r="613" spans="1:12" x14ac:dyDescent="0.3">
      <c r="A613">
        <v>611</v>
      </c>
      <c r="B613" s="2">
        <f t="shared" si="72"/>
        <v>14830.097087378641</v>
      </c>
      <c r="C613" s="2">
        <f t="shared" si="73"/>
        <v>3.3973440281512696E-3</v>
      </c>
      <c r="D613" s="2">
        <f t="shared" si="74"/>
        <v>21.197582026942769</v>
      </c>
      <c r="E613" s="3">
        <f t="shared" si="79"/>
        <v>70.155647648496981</v>
      </c>
      <c r="F613" cm="1">
        <f t="array" aca="1" ref="F613" ca="1">INDEX($O$2:$O$34,INT(A613/$Z$1)+1)</f>
        <v>70.364529642824778</v>
      </c>
      <c r="G613" cm="1">
        <f t="array" aca="1" ref="G613" ca="1">INDEX($O$2:$O$34,INT(A613/$Z$1)+2)</f>
        <v>68.116899560530953</v>
      </c>
      <c r="H613">
        <f t="shared" ca="1" si="75"/>
        <v>-7.0238440071682007E-2</v>
      </c>
      <c r="I613">
        <f t="shared" ca="1" si="76"/>
        <v>-0.21071532021504602</v>
      </c>
      <c r="J613" s="3">
        <f t="shared" ca="1" si="77"/>
        <v>70.153814322609733</v>
      </c>
      <c r="K613" s="3">
        <f t="shared" ca="1" si="78"/>
        <v>1.8333258872473834E-3</v>
      </c>
      <c r="L613" s="3"/>
    </row>
    <row r="614" spans="1:12" x14ac:dyDescent="0.3">
      <c r="A614">
        <v>612</v>
      </c>
      <c r="B614" s="2">
        <f t="shared" si="72"/>
        <v>14890.51094890511</v>
      </c>
      <c r="C614" s="2">
        <f t="shared" si="73"/>
        <v>3.3977910170272371E-3</v>
      </c>
      <c r="D614" s="2">
        <f t="shared" si="74"/>
        <v>21.15885978235076</v>
      </c>
      <c r="E614" s="3">
        <f t="shared" si="79"/>
        <v>70.085947608231365</v>
      </c>
      <c r="F614" cm="1">
        <f t="array" aca="1" ref="F614" ca="1">INDEX($O$2:$O$34,INT(A614/$Z$1)+1)</f>
        <v>70.364529642824778</v>
      </c>
      <c r="G614" cm="1">
        <f t="array" aca="1" ref="G614" ca="1">INDEX($O$2:$O$34,INT(A614/$Z$1)+2)</f>
        <v>68.116899560530953</v>
      </c>
      <c r="H614">
        <f t="shared" ca="1" si="75"/>
        <v>-7.0238440071682007E-2</v>
      </c>
      <c r="I614">
        <f t="shared" ca="1" si="76"/>
        <v>-0.28095376028672803</v>
      </c>
      <c r="J614" s="3">
        <f t="shared" ca="1" si="77"/>
        <v>70.083575882538042</v>
      </c>
      <c r="K614" s="3">
        <f t="shared" ca="1" si="78"/>
        <v>2.3717256933224462E-3</v>
      </c>
      <c r="L614" s="3"/>
    </row>
    <row r="615" spans="1:12" x14ac:dyDescent="0.3">
      <c r="A615">
        <v>613</v>
      </c>
      <c r="B615" s="2">
        <f t="shared" si="72"/>
        <v>14951.219512195123</v>
      </c>
      <c r="C615" s="2">
        <f t="shared" si="73"/>
        <v>3.3982383632371578E-3</v>
      </c>
      <c r="D615" s="2">
        <f t="shared" si="74"/>
        <v>21.120116781155161</v>
      </c>
      <c r="E615" s="3">
        <f t="shared" si="79"/>
        <v>70.016210206079293</v>
      </c>
      <c r="F615" cm="1">
        <f t="array" aca="1" ref="F615" ca="1">INDEX($O$2:$O$34,INT(A615/$Z$1)+1)</f>
        <v>70.364529642824778</v>
      </c>
      <c r="G615" cm="1">
        <f t="array" aca="1" ref="G615" ca="1">INDEX($O$2:$O$34,INT(A615/$Z$1)+2)</f>
        <v>68.116899560530953</v>
      </c>
      <c r="H615">
        <f t="shared" ca="1" si="75"/>
        <v>-7.0238440071682007E-2</v>
      </c>
      <c r="I615">
        <f t="shared" ca="1" si="76"/>
        <v>-0.35119220035841003</v>
      </c>
      <c r="J615" s="3">
        <f t="shared" ca="1" si="77"/>
        <v>70.013337442466366</v>
      </c>
      <c r="K615" s="3">
        <f t="shared" ca="1" si="78"/>
        <v>2.8727636129275425E-3</v>
      </c>
      <c r="L615" s="3"/>
    </row>
    <row r="616" spans="1:12" x14ac:dyDescent="0.3">
      <c r="A616">
        <v>614</v>
      </c>
      <c r="B616" s="2">
        <f t="shared" si="72"/>
        <v>15012.224938875306</v>
      </c>
      <c r="C616" s="2">
        <f t="shared" si="73"/>
        <v>3.3986860709169417E-3</v>
      </c>
      <c r="D616" s="2">
        <f t="shared" si="74"/>
        <v>21.081352685718059</v>
      </c>
      <c r="E616" s="3">
        <f t="shared" si="79"/>
        <v>69.946434834292504</v>
      </c>
      <c r="F616" cm="1">
        <f t="array" aca="1" ref="F616" ca="1">INDEX($O$2:$O$34,INT(A616/$Z$1)+1)</f>
        <v>70.364529642824778</v>
      </c>
      <c r="G616" cm="1">
        <f t="array" aca="1" ref="G616" ca="1">INDEX($O$2:$O$34,INT(A616/$Z$1)+2)</f>
        <v>68.116899560530953</v>
      </c>
      <c r="H616">
        <f t="shared" ca="1" si="75"/>
        <v>-7.0238440071682007E-2</v>
      </c>
      <c r="I616">
        <f t="shared" ca="1" si="76"/>
        <v>-0.42143064043009204</v>
      </c>
      <c r="J616" s="3">
        <f t="shared" ca="1" si="77"/>
        <v>69.943099002394689</v>
      </c>
      <c r="K616" s="3">
        <f t="shared" ca="1" si="78"/>
        <v>3.3358318978145007E-3</v>
      </c>
      <c r="L616" s="3"/>
    </row>
    <row r="617" spans="1:12" x14ac:dyDescent="0.3">
      <c r="A617">
        <v>615</v>
      </c>
      <c r="B617" s="2">
        <f t="shared" si="72"/>
        <v>15073.529411764706</v>
      </c>
      <c r="C617" s="2">
        <f t="shared" si="73"/>
        <v>3.3991341442211726E-3</v>
      </c>
      <c r="D617" s="2">
        <f t="shared" si="74"/>
        <v>21.042567157165024</v>
      </c>
      <c r="E617" s="3">
        <f t="shared" si="79"/>
        <v>69.876620882897043</v>
      </c>
      <c r="F617" cm="1">
        <f t="array" aca="1" ref="F617" ca="1">INDEX($O$2:$O$34,INT(A617/$Z$1)+1)</f>
        <v>70.364529642824778</v>
      </c>
      <c r="G617" cm="1">
        <f t="array" aca="1" ref="G617" ca="1">INDEX($O$2:$O$34,INT(A617/$Z$1)+2)</f>
        <v>68.116899560530953</v>
      </c>
      <c r="H617">
        <f t="shared" ca="1" si="75"/>
        <v>-7.0238440071682007E-2</v>
      </c>
      <c r="I617">
        <f t="shared" ca="1" si="76"/>
        <v>-0.49166908050177405</v>
      </c>
      <c r="J617" s="3">
        <f t="shared" ca="1" si="77"/>
        <v>69.872860562322998</v>
      </c>
      <c r="K617" s="3">
        <f t="shared" ca="1" si="78"/>
        <v>3.760320574045295E-3</v>
      </c>
      <c r="L617" s="3"/>
    </row>
    <row r="618" spans="1:12" x14ac:dyDescent="0.3">
      <c r="A618">
        <v>616</v>
      </c>
      <c r="B618" s="2">
        <f t="shared" si="72"/>
        <v>15135.135135135135</v>
      </c>
      <c r="C618" s="2">
        <f t="shared" si="73"/>
        <v>3.399582587323367E-3</v>
      </c>
      <c r="D618" s="2">
        <f t="shared" si="74"/>
        <v>21.003759855365558</v>
      </c>
      <c r="E618" s="3">
        <f t="shared" si="79"/>
        <v>69.806767739658</v>
      </c>
      <c r="F618" cm="1">
        <f t="array" aca="1" ref="F618" ca="1">INDEX($O$2:$O$34,INT(A618/$Z$1)+1)</f>
        <v>70.364529642824778</v>
      </c>
      <c r="G618" cm="1">
        <f t="array" aca="1" ref="G618" ca="1">INDEX($O$2:$O$34,INT(A618/$Z$1)+2)</f>
        <v>68.116899560530953</v>
      </c>
      <c r="H618">
        <f t="shared" ca="1" si="75"/>
        <v>-7.0238440071682007E-2</v>
      </c>
      <c r="I618">
        <f t="shared" ca="1" si="76"/>
        <v>-0.56190752057345605</v>
      </c>
      <c r="J618" s="3">
        <f t="shared" ca="1" si="77"/>
        <v>69.802622122251321</v>
      </c>
      <c r="K618" s="3">
        <f t="shared" ca="1" si="78"/>
        <v>4.1456174066780704E-3</v>
      </c>
      <c r="L618" s="3"/>
    </row>
    <row r="619" spans="1:12" x14ac:dyDescent="0.3">
      <c r="A619">
        <v>617</v>
      </c>
      <c r="B619" s="2">
        <f t="shared" si="72"/>
        <v>15197.04433497537</v>
      </c>
      <c r="C619" s="2">
        <f t="shared" si="73"/>
        <v>3.4000314044162388E-3</v>
      </c>
      <c r="D619" s="2">
        <f t="shared" si="74"/>
        <v>20.964930438912518</v>
      </c>
      <c r="E619" s="3">
        <f t="shared" si="79"/>
        <v>69.736874790042535</v>
      </c>
      <c r="F619" cm="1">
        <f t="array" aca="1" ref="F619" ca="1">INDEX($O$2:$O$34,INT(A619/$Z$1)+1)</f>
        <v>70.364529642824778</v>
      </c>
      <c r="G619" cm="1">
        <f t="array" aca="1" ref="G619" ca="1">INDEX($O$2:$O$34,INT(A619/$Z$1)+2)</f>
        <v>68.116899560530953</v>
      </c>
      <c r="H619">
        <f t="shared" ca="1" si="75"/>
        <v>-7.0238440071682007E-2</v>
      </c>
      <c r="I619">
        <f t="shared" ca="1" si="76"/>
        <v>-0.63214596064513806</v>
      </c>
      <c r="J619" s="3">
        <f t="shared" ca="1" si="77"/>
        <v>69.732383682179645</v>
      </c>
      <c r="K619" s="3">
        <f t="shared" ca="1" si="78"/>
        <v>4.4911078628899759E-3</v>
      </c>
      <c r="L619" s="3"/>
    </row>
    <row r="620" spans="1:12" x14ac:dyDescent="0.3">
      <c r="A620">
        <v>618</v>
      </c>
      <c r="B620" s="2">
        <f t="shared" si="72"/>
        <v>15259.259259259259</v>
      </c>
      <c r="C620" s="2">
        <f t="shared" si="73"/>
        <v>3.4004805997119602E-3</v>
      </c>
      <c r="D620" s="2">
        <f t="shared" si="74"/>
        <v>20.926078565102159</v>
      </c>
      <c r="E620" s="3">
        <f t="shared" si="79"/>
        <v>69.666941417183892</v>
      </c>
      <c r="F620" cm="1">
        <f t="array" aca="1" ref="F620" ca="1">INDEX($O$2:$O$34,INT(A620/$Z$1)+1)</f>
        <v>70.364529642824778</v>
      </c>
      <c r="G620" cm="1">
        <f t="array" aca="1" ref="G620" ca="1">INDEX($O$2:$O$34,INT(A620/$Z$1)+2)</f>
        <v>68.116899560530953</v>
      </c>
      <c r="H620">
        <f t="shared" ca="1" si="75"/>
        <v>-7.0238440071682007E-2</v>
      </c>
      <c r="I620">
        <f t="shared" ca="1" si="76"/>
        <v>-0.70238440071682007</v>
      </c>
      <c r="J620" s="3">
        <f t="shared" ca="1" si="77"/>
        <v>69.662145242107954</v>
      </c>
      <c r="K620" s="3">
        <f t="shared" ca="1" si="78"/>
        <v>4.7961750759384358E-3</v>
      </c>
      <c r="L620" s="3"/>
    </row>
    <row r="621" spans="1:12" x14ac:dyDescent="0.3">
      <c r="A621">
        <v>619</v>
      </c>
      <c r="B621" s="2">
        <f t="shared" si="72"/>
        <v>15321.782178217822</v>
      </c>
      <c r="C621" s="2">
        <f t="shared" si="73"/>
        <v>3.4009301774424322E-3</v>
      </c>
      <c r="D621" s="2">
        <f t="shared" si="74"/>
        <v>20.887203889913508</v>
      </c>
      <c r="E621" s="3">
        <f t="shared" si="79"/>
        <v>69.59696700184432</v>
      </c>
      <c r="F621" cm="1">
        <f t="array" aca="1" ref="F621" ca="1">INDEX($O$2:$O$34,INT(A621/$Z$1)+1)</f>
        <v>70.364529642824778</v>
      </c>
      <c r="G621" cm="1">
        <f t="array" aca="1" ref="G621" ca="1">INDEX($O$2:$O$34,INT(A621/$Z$1)+2)</f>
        <v>68.116899560530953</v>
      </c>
      <c r="H621">
        <f t="shared" ca="1" si="75"/>
        <v>-7.0238440071682007E-2</v>
      </c>
      <c r="I621">
        <f t="shared" ca="1" si="76"/>
        <v>-0.77262284078850207</v>
      </c>
      <c r="J621" s="3">
        <f t="shared" ca="1" si="77"/>
        <v>69.591906802036277</v>
      </c>
      <c r="K621" s="3">
        <f t="shared" ca="1" si="78"/>
        <v>5.0601998080423982E-3</v>
      </c>
      <c r="L621" s="3"/>
    </row>
    <row r="622" spans="1:12" x14ac:dyDescent="0.3">
      <c r="A622">
        <v>620</v>
      </c>
      <c r="B622" s="2">
        <f t="shared" si="72"/>
        <v>15384.615384615385</v>
      </c>
      <c r="C622" s="2">
        <f t="shared" si="73"/>
        <v>3.4013801418595543E-3</v>
      </c>
      <c r="D622" s="2">
        <f t="shared" si="74"/>
        <v>20.848306067987551</v>
      </c>
      <c r="E622" s="3">
        <f t="shared" si="79"/>
        <v>69.526950922377594</v>
      </c>
      <c r="F622" cm="1">
        <f t="array" aca="1" ref="F622" ca="1">INDEX($O$2:$O$34,INT(A622/$Z$1)+1)</f>
        <v>70.364529642824778</v>
      </c>
      <c r="G622" cm="1">
        <f t="array" aca="1" ref="G622" ca="1">INDEX($O$2:$O$34,INT(A622/$Z$1)+2)</f>
        <v>68.116899560530953</v>
      </c>
      <c r="H622">
        <f t="shared" ca="1" si="75"/>
        <v>-7.0238440071682007E-2</v>
      </c>
      <c r="I622">
        <f t="shared" ca="1" si="76"/>
        <v>-0.84286128086018408</v>
      </c>
      <c r="J622" s="3">
        <f t="shared" ca="1" si="77"/>
        <v>69.521668361964601</v>
      </c>
      <c r="K622" s="3">
        <f t="shared" ca="1" si="78"/>
        <v>5.2825604129935755E-3</v>
      </c>
      <c r="L622" s="3"/>
    </row>
    <row r="623" spans="1:12" x14ac:dyDescent="0.3">
      <c r="A623">
        <v>621</v>
      </c>
      <c r="B623" s="2">
        <f t="shared" si="72"/>
        <v>15447.76119402985</v>
      </c>
      <c r="C623" s="2">
        <f t="shared" si="73"/>
        <v>3.4018304972354948E-3</v>
      </c>
      <c r="D623" s="2">
        <f t="shared" si="74"/>
        <v>20.809384752606661</v>
      </c>
      <c r="E623" s="3">
        <f t="shared" si="79"/>
        <v>69.45689255469199</v>
      </c>
      <c r="F623" cm="1">
        <f t="array" aca="1" ref="F623" ca="1">INDEX($O$2:$O$34,INT(A623/$Z$1)+1)</f>
        <v>70.364529642824778</v>
      </c>
      <c r="G623" cm="1">
        <f t="array" aca="1" ref="G623" ca="1">INDEX($O$2:$O$34,INT(A623/$Z$1)+2)</f>
        <v>68.116899560530953</v>
      </c>
      <c r="H623">
        <f t="shared" ca="1" si="75"/>
        <v>-7.0238440071682007E-2</v>
      </c>
      <c r="I623">
        <f t="shared" ca="1" si="76"/>
        <v>-0.91309972093186609</v>
      </c>
      <c r="J623" s="3">
        <f t="shared" ca="1" si="77"/>
        <v>69.45142992189291</v>
      </c>
      <c r="K623" s="3">
        <f t="shared" ca="1" si="78"/>
        <v>5.4626327990803247E-3</v>
      </c>
      <c r="L623" s="3"/>
    </row>
    <row r="624" spans="1:12" x14ac:dyDescent="0.3">
      <c r="A624">
        <v>622</v>
      </c>
      <c r="B624" s="2">
        <f t="shared" si="72"/>
        <v>15511.221945137157</v>
      </c>
      <c r="C624" s="2">
        <f t="shared" si="73"/>
        <v>3.4022812478629698E-3</v>
      </c>
      <c r="D624" s="2">
        <f t="shared" si="74"/>
        <v>20.770439595673338</v>
      </c>
      <c r="E624" s="3">
        <f t="shared" si="79"/>
        <v>69.386791272212008</v>
      </c>
      <c r="F624" cm="1">
        <f t="array" aca="1" ref="F624" ca="1">INDEX($O$2:$O$34,INT(A624/$Z$1)+1)</f>
        <v>70.364529642824778</v>
      </c>
      <c r="G624" cm="1">
        <f t="array" aca="1" ref="G624" ca="1">INDEX($O$2:$O$34,INT(A624/$Z$1)+2)</f>
        <v>68.116899560530953</v>
      </c>
      <c r="H624">
        <f t="shared" ca="1" si="75"/>
        <v>-7.0238440071682007E-2</v>
      </c>
      <c r="I624">
        <f t="shared" ca="1" si="76"/>
        <v>-0.98333816100354809</v>
      </c>
      <c r="J624" s="3">
        <f t="shared" ca="1" si="77"/>
        <v>69.381191481821233</v>
      </c>
      <c r="K624" s="3">
        <f t="shared" ca="1" si="78"/>
        <v>5.5997903907751834E-3</v>
      </c>
      <c r="L624" s="3"/>
    </row>
    <row r="625" spans="1:12" x14ac:dyDescent="0.3">
      <c r="A625">
        <v>623</v>
      </c>
      <c r="B625" s="2">
        <f t="shared" si="72"/>
        <v>15575</v>
      </c>
      <c r="C625" s="2">
        <f t="shared" si="73"/>
        <v>3.4027323980555194E-3</v>
      </c>
      <c r="D625" s="2">
        <f t="shared" si="74"/>
        <v>20.731470247688833</v>
      </c>
      <c r="E625" s="3">
        <f t="shared" si="79"/>
        <v>69.316646445839893</v>
      </c>
      <c r="F625" cm="1">
        <f t="array" aca="1" ref="F625" ca="1">INDEX($O$2:$O$34,INT(A625/$Z$1)+1)</f>
        <v>70.364529642824778</v>
      </c>
      <c r="G625" cm="1">
        <f t="array" aca="1" ref="G625" ca="1">INDEX($O$2:$O$34,INT(A625/$Z$1)+2)</f>
        <v>68.116899560530953</v>
      </c>
      <c r="H625">
        <f t="shared" ca="1" si="75"/>
        <v>-7.0238440071682007E-2</v>
      </c>
      <c r="I625">
        <f t="shared" ca="1" si="76"/>
        <v>-1.0535766010752301</v>
      </c>
      <c r="J625" s="3">
        <f t="shared" ca="1" si="77"/>
        <v>69.310953041749542</v>
      </c>
      <c r="K625" s="3">
        <f t="shared" ca="1" si="78"/>
        <v>5.6934040903513505E-3</v>
      </c>
      <c r="L625" s="3"/>
    </row>
    <row r="626" spans="1:12" x14ac:dyDescent="0.3">
      <c r="A626">
        <v>624</v>
      </c>
      <c r="B626" s="2">
        <f t="shared" si="72"/>
        <v>15639.097744360903</v>
      </c>
      <c r="C626" s="2">
        <f t="shared" si="73"/>
        <v>3.40318395214779E-3</v>
      </c>
      <c r="D626" s="2">
        <f t="shared" si="74"/>
        <v>20.692476357732062</v>
      </c>
      <c r="E626" s="3">
        <f t="shared" si="79"/>
        <v>69.246457443917706</v>
      </c>
      <c r="F626" cm="1">
        <f t="array" aca="1" ref="F626" ca="1">INDEX($O$2:$O$34,INT(A626/$Z$1)+1)</f>
        <v>70.364529642824778</v>
      </c>
      <c r="G626" cm="1">
        <f t="array" aca="1" ref="G626" ca="1">INDEX($O$2:$O$34,INT(A626/$Z$1)+2)</f>
        <v>68.116899560530953</v>
      </c>
      <c r="H626">
        <f t="shared" ca="1" si="75"/>
        <v>-7.0238440071682007E-2</v>
      </c>
      <c r="I626">
        <f t="shared" ca="1" si="76"/>
        <v>-1.1238150411469121</v>
      </c>
      <c r="J626" s="3">
        <f t="shared" ca="1" si="77"/>
        <v>69.240714601677865</v>
      </c>
      <c r="K626" s="3">
        <f t="shared" ca="1" si="78"/>
        <v>5.742842239840229E-3</v>
      </c>
      <c r="L626" s="3"/>
    </row>
    <row r="627" spans="1:12" x14ac:dyDescent="0.3">
      <c r="A627">
        <v>625</v>
      </c>
      <c r="B627" s="2">
        <f t="shared" si="72"/>
        <v>15703.517587939699</v>
      </c>
      <c r="C627" s="2">
        <f t="shared" si="73"/>
        <v>3.4036359144958184E-3</v>
      </c>
      <c r="D627" s="2">
        <f t="shared" si="74"/>
        <v>20.653457573437436</v>
      </c>
      <c r="E627" s="3">
        <f t="shared" si="79"/>
        <v>69.176223632187387</v>
      </c>
      <c r="F627" cm="1">
        <f t="array" aca="1" ref="F627" ca="1">INDEX($O$2:$O$34,INT(A627/$Z$1)+1)</f>
        <v>70.364529642824778</v>
      </c>
      <c r="G627" cm="1">
        <f t="array" aca="1" ref="G627" ca="1">INDEX($O$2:$O$34,INT(A627/$Z$1)+2)</f>
        <v>68.116899560530953</v>
      </c>
      <c r="H627">
        <f t="shared" ca="1" si="75"/>
        <v>-7.0238440071682007E-2</v>
      </c>
      <c r="I627">
        <f t="shared" ca="1" si="76"/>
        <v>-1.1940534812185941</v>
      </c>
      <c r="J627" s="3">
        <f t="shared" ca="1" si="77"/>
        <v>69.170476161606189</v>
      </c>
      <c r="K627" s="3">
        <f t="shared" ca="1" si="78"/>
        <v>5.7474705811983995E-3</v>
      </c>
      <c r="L627" s="3"/>
    </row>
    <row r="628" spans="1:12" x14ac:dyDescent="0.3">
      <c r="A628">
        <v>626</v>
      </c>
      <c r="B628" s="2">
        <f t="shared" si="72"/>
        <v>15768.261964735517</v>
      </c>
      <c r="C628" s="2">
        <f t="shared" si="73"/>
        <v>3.4040882894773188E-3</v>
      </c>
      <c r="D628" s="2">
        <f t="shared" si="74"/>
        <v>20.614413540973487</v>
      </c>
      <c r="E628" s="3">
        <f t="shared" si="79"/>
        <v>69.10594437375228</v>
      </c>
      <c r="F628" cm="1">
        <f t="array" aca="1" ref="F628" ca="1">INDEX($O$2:$O$34,INT(A628/$Z$1)+1)</f>
        <v>70.364529642824778</v>
      </c>
      <c r="G628" cm="1">
        <f t="array" aca="1" ref="G628" ca="1">INDEX($O$2:$O$34,INT(A628/$Z$1)+2)</f>
        <v>68.116899560530953</v>
      </c>
      <c r="H628">
        <f t="shared" ca="1" si="75"/>
        <v>-7.0238440071682007E-2</v>
      </c>
      <c r="I628">
        <f t="shared" ca="1" si="76"/>
        <v>-1.2642919212902761</v>
      </c>
      <c r="J628" s="3">
        <f t="shared" ca="1" si="77"/>
        <v>69.100237721534498</v>
      </c>
      <c r="K628" s="3">
        <f t="shared" ca="1" si="78"/>
        <v>5.7066522177819934E-3</v>
      </c>
      <c r="L628" s="3"/>
    </row>
    <row r="629" spans="1:12" x14ac:dyDescent="0.3">
      <c r="A629">
        <v>627</v>
      </c>
      <c r="B629" s="2">
        <f t="shared" si="72"/>
        <v>15833.333333333334</v>
      </c>
      <c r="C629" s="2">
        <f t="shared" si="73"/>
        <v>3.4045410814919743E-3</v>
      </c>
      <c r="D629" s="2">
        <f t="shared" si="74"/>
        <v>20.575343905020361</v>
      </c>
      <c r="E629" s="3">
        <f t="shared" si="79"/>
        <v>69.035619029036653</v>
      </c>
      <c r="F629" cm="1">
        <f t="array" aca="1" ref="F629" ca="1">INDEX($O$2:$O$34,INT(A629/$Z$1)+1)</f>
        <v>70.364529642824778</v>
      </c>
      <c r="G629" cm="1">
        <f t="array" aca="1" ref="G629" ca="1">INDEX($O$2:$O$34,INT(A629/$Z$1)+2)</f>
        <v>68.116899560530953</v>
      </c>
      <c r="H629">
        <f t="shared" ca="1" si="75"/>
        <v>-7.0238440071682007E-2</v>
      </c>
      <c r="I629">
        <f t="shared" ca="1" si="76"/>
        <v>-1.3345303613619581</v>
      </c>
      <c r="J629" s="3">
        <f t="shared" ca="1" si="77"/>
        <v>69.029999281462821</v>
      </c>
      <c r="K629" s="3">
        <f t="shared" ca="1" si="78"/>
        <v>5.6197475738315461E-3</v>
      </c>
      <c r="L629" s="3"/>
    </row>
    <row r="630" spans="1:12" x14ac:dyDescent="0.3">
      <c r="A630">
        <v>628</v>
      </c>
      <c r="B630" s="2">
        <f t="shared" si="72"/>
        <v>15898.73417721519</v>
      </c>
      <c r="C630" s="2">
        <f t="shared" si="73"/>
        <v>3.4049942949617292E-3</v>
      </c>
      <c r="D630" s="2">
        <f t="shared" si="74"/>
        <v>20.536248308747815</v>
      </c>
      <c r="E630" s="3">
        <f t="shared" si="79"/>
        <v>68.965246955746068</v>
      </c>
      <c r="F630" cm="1">
        <f t="array" aca="1" ref="F630" ca="1">INDEX($O$2:$O$34,INT(A630/$Z$1)+1)</f>
        <v>70.364529642824778</v>
      </c>
      <c r="G630" cm="1">
        <f t="array" aca="1" ref="G630" ca="1">INDEX($O$2:$O$34,INT(A630/$Z$1)+2)</f>
        <v>68.116899560530953</v>
      </c>
      <c r="H630">
        <f t="shared" ca="1" si="75"/>
        <v>-7.0238440071682007E-2</v>
      </c>
      <c r="I630">
        <f t="shared" ca="1" si="76"/>
        <v>-1.4047688014336401</v>
      </c>
      <c r="J630" s="3">
        <f t="shared" ca="1" si="77"/>
        <v>68.95976084139113</v>
      </c>
      <c r="K630" s="3">
        <f t="shared" ca="1" si="78"/>
        <v>5.4861143549373992E-3</v>
      </c>
      <c r="L630" s="3"/>
    </row>
    <row r="631" spans="1:12" x14ac:dyDescent="0.3">
      <c r="A631">
        <v>629</v>
      </c>
      <c r="B631" s="2">
        <f t="shared" si="72"/>
        <v>15964.467005076142</v>
      </c>
      <c r="C631" s="2">
        <f t="shared" si="73"/>
        <v>3.4054479343310858E-3</v>
      </c>
      <c r="D631" s="2">
        <f t="shared" si="74"/>
        <v>20.497126393792541</v>
      </c>
      <c r="E631" s="3">
        <f t="shared" si="79"/>
        <v>68.89482750882658</v>
      </c>
      <c r="F631" cm="1">
        <f t="array" aca="1" ref="F631" ca="1">INDEX($O$2:$O$34,INT(A631/$Z$1)+1)</f>
        <v>70.364529642824778</v>
      </c>
      <c r="G631" cm="1">
        <f t="array" aca="1" ref="G631" ca="1">INDEX($O$2:$O$34,INT(A631/$Z$1)+2)</f>
        <v>68.116899560530953</v>
      </c>
      <c r="H631">
        <f t="shared" ca="1" si="75"/>
        <v>-7.0238440071682007E-2</v>
      </c>
      <c r="I631">
        <f t="shared" ca="1" si="76"/>
        <v>-1.4750072415053221</v>
      </c>
      <c r="J631" s="3">
        <f t="shared" ca="1" si="77"/>
        <v>68.889522401319454</v>
      </c>
      <c r="K631" s="3">
        <f t="shared" ca="1" si="78"/>
        <v>5.3051075071266496E-3</v>
      </c>
      <c r="L631" s="3"/>
    </row>
    <row r="632" spans="1:12" x14ac:dyDescent="0.3">
      <c r="A632">
        <v>630</v>
      </c>
      <c r="B632" s="2">
        <f t="shared" si="72"/>
        <v>16030.534351145037</v>
      </c>
      <c r="C632" s="2">
        <f t="shared" si="73"/>
        <v>3.405902004067405E-3</v>
      </c>
      <c r="D632" s="2">
        <f t="shared" si="74"/>
        <v>20.457977800235426</v>
      </c>
      <c r="E632" s="3">
        <f t="shared" si="79"/>
        <v>68.82436004042377</v>
      </c>
      <c r="F632" cm="1">
        <f t="array" aca="1" ref="F632" ca="1">INDEX($O$2:$O$34,INT(A632/$Z$1)+1)</f>
        <v>70.364529642824778</v>
      </c>
      <c r="G632" cm="1">
        <f t="array" aca="1" ref="G632" ca="1">INDEX($O$2:$O$34,INT(A632/$Z$1)+2)</f>
        <v>68.116899560530953</v>
      </c>
      <c r="H632">
        <f t="shared" ca="1" si="75"/>
        <v>-7.0238440071682007E-2</v>
      </c>
      <c r="I632">
        <f t="shared" ca="1" si="76"/>
        <v>-1.5452456815770041</v>
      </c>
      <c r="J632" s="3">
        <f t="shared" ca="1" si="77"/>
        <v>68.819283961247777</v>
      </c>
      <c r="K632" s="3">
        <f t="shared" ca="1" si="78"/>
        <v>5.0760791759927315E-3</v>
      </c>
      <c r="L632" s="3"/>
    </row>
    <row r="633" spans="1:12" x14ac:dyDescent="0.3">
      <c r="A633">
        <v>631</v>
      </c>
      <c r="B633" s="2">
        <f t="shared" si="72"/>
        <v>16096.938775510203</v>
      </c>
      <c r="C633" s="2">
        <f t="shared" si="73"/>
        <v>3.4063565086612079E-3</v>
      </c>
      <c r="D633" s="2">
        <f t="shared" si="74"/>
        <v>20.418802166578757</v>
      </c>
      <c r="E633" s="3">
        <f t="shared" si="79"/>
        <v>68.753843899841769</v>
      </c>
      <c r="F633" cm="1">
        <f t="array" aca="1" ref="F633" ca="1">INDEX($O$2:$O$34,INT(A633/$Z$1)+1)</f>
        <v>70.364529642824778</v>
      </c>
      <c r="G633" cm="1">
        <f t="array" aca="1" ref="G633" ca="1">INDEX($O$2:$O$34,INT(A633/$Z$1)+2)</f>
        <v>68.116899560530953</v>
      </c>
      <c r="H633">
        <f t="shared" ca="1" si="75"/>
        <v>-7.0238440071682007E-2</v>
      </c>
      <c r="I633">
        <f t="shared" ca="1" si="76"/>
        <v>-1.6154841216486862</v>
      </c>
      <c r="J633" s="3">
        <f t="shared" ca="1" si="77"/>
        <v>68.749045521176086</v>
      </c>
      <c r="K633" s="3">
        <f t="shared" ca="1" si="78"/>
        <v>4.7983786656828897E-3</v>
      </c>
      <c r="L633" s="3"/>
    </row>
    <row r="634" spans="1:12" x14ac:dyDescent="0.3">
      <c r="A634">
        <v>632</v>
      </c>
      <c r="B634" s="2">
        <f t="shared" si="72"/>
        <v>16163.682864450127</v>
      </c>
      <c r="C634" s="2">
        <f t="shared" si="73"/>
        <v>3.4068114526264841E-3</v>
      </c>
      <c r="D634" s="2">
        <f t="shared" si="74"/>
        <v>20.379599129722692</v>
      </c>
      <c r="E634" s="3">
        <f t="shared" si="79"/>
        <v>68.683278433500845</v>
      </c>
      <c r="F634" cm="1">
        <f t="array" aca="1" ref="F634" ca="1">INDEX($O$2:$O$34,INT(A634/$Z$1)+1)</f>
        <v>70.364529642824778</v>
      </c>
      <c r="G634" cm="1">
        <f t="array" aca="1" ref="G634" ca="1">INDEX($O$2:$O$34,INT(A634/$Z$1)+2)</f>
        <v>68.116899560530953</v>
      </c>
      <c r="H634">
        <f t="shared" ca="1" si="75"/>
        <v>-7.0238440071682007E-2</v>
      </c>
      <c r="I634">
        <f t="shared" ca="1" si="76"/>
        <v>-1.6857225617203682</v>
      </c>
      <c r="J634" s="3">
        <f t="shared" ca="1" si="77"/>
        <v>68.678807081104409</v>
      </c>
      <c r="K634" s="3">
        <f t="shared" ca="1" si="78"/>
        <v>4.4713523964361457E-3</v>
      </c>
      <c r="L634" s="3"/>
    </row>
    <row r="635" spans="1:12" x14ac:dyDescent="0.3">
      <c r="A635">
        <v>633</v>
      </c>
      <c r="B635" s="2">
        <f t="shared" si="72"/>
        <v>16230.76923076923</v>
      </c>
      <c r="C635" s="2">
        <f t="shared" si="73"/>
        <v>3.4072668405010003E-3</v>
      </c>
      <c r="D635" s="2">
        <f t="shared" si="74"/>
        <v>20.340368324942006</v>
      </c>
      <c r="E635" s="3">
        <f t="shared" si="79"/>
        <v>68.612662984895607</v>
      </c>
      <c r="F635" cm="1">
        <f t="array" aca="1" ref="F635" ca="1">INDEX($O$2:$O$34,INT(A635/$Z$1)+1)</f>
        <v>70.364529642824778</v>
      </c>
      <c r="G635" cm="1">
        <f t="array" aca="1" ref="G635" ca="1">INDEX($O$2:$O$34,INT(A635/$Z$1)+2)</f>
        <v>68.116899560530953</v>
      </c>
      <c r="H635">
        <f t="shared" ca="1" si="75"/>
        <v>-7.0238440071682007E-2</v>
      </c>
      <c r="I635">
        <f t="shared" ca="1" si="76"/>
        <v>-1.7559610017920502</v>
      </c>
      <c r="J635" s="3">
        <f t="shared" ca="1" si="77"/>
        <v>68.608568641032733</v>
      </c>
      <c r="K635" s="3">
        <f t="shared" ca="1" si="78"/>
        <v>4.0943438628744389E-3</v>
      </c>
      <c r="L635" s="3"/>
    </row>
    <row r="636" spans="1:12" x14ac:dyDescent="0.3">
      <c r="A636">
        <v>634</v>
      </c>
      <c r="B636" s="2">
        <f t="shared" si="72"/>
        <v>16298.200514138818</v>
      </c>
      <c r="C636" s="2">
        <f t="shared" si="73"/>
        <v>3.4077226768466128E-3</v>
      </c>
      <c r="D636" s="2">
        <f t="shared" si="74"/>
        <v>20.301109385862674</v>
      </c>
      <c r="E636" s="3">
        <f t="shared" si="79"/>
        <v>68.54199689455281</v>
      </c>
      <c r="F636" cm="1">
        <f t="array" aca="1" ref="F636" ca="1">INDEX($O$2:$O$34,INT(A636/$Z$1)+1)</f>
        <v>70.364529642824778</v>
      </c>
      <c r="G636" cm="1">
        <f t="array" aca="1" ref="G636" ca="1">INDEX($O$2:$O$34,INT(A636/$Z$1)+2)</f>
        <v>68.116899560530953</v>
      </c>
      <c r="H636">
        <f t="shared" ca="1" si="75"/>
        <v>-7.0238440071682007E-2</v>
      </c>
      <c r="I636">
        <f t="shared" ca="1" si="76"/>
        <v>-1.8261994418637322</v>
      </c>
      <c r="J636" s="3">
        <f t="shared" ca="1" si="77"/>
        <v>68.538330200961042</v>
      </c>
      <c r="K636" s="3">
        <f t="shared" ca="1" si="78"/>
        <v>3.6666935917679666E-3</v>
      </c>
      <c r="L636" s="3"/>
    </row>
    <row r="637" spans="1:12" x14ac:dyDescent="0.3">
      <c r="A637">
        <v>635</v>
      </c>
      <c r="B637" s="2">
        <f t="shared" si="72"/>
        <v>16365.9793814433</v>
      </c>
      <c r="C637" s="2">
        <f t="shared" si="73"/>
        <v>3.4081789662495855E-3</v>
      </c>
      <c r="D637" s="2">
        <f t="shared" si="74"/>
        <v>20.261821944437372</v>
      </c>
      <c r="E637" s="3">
        <f t="shared" si="79"/>
        <v>68.471279499987276</v>
      </c>
      <c r="F637" cm="1">
        <f t="array" aca="1" ref="F637" ca="1">INDEX($O$2:$O$34,INT(A637/$Z$1)+1)</f>
        <v>70.364529642824778</v>
      </c>
      <c r="G637" cm="1">
        <f t="array" aca="1" ref="G637" ca="1">INDEX($O$2:$O$34,INT(A637/$Z$1)+2)</f>
        <v>68.116899560530953</v>
      </c>
      <c r="H637">
        <f t="shared" ca="1" si="75"/>
        <v>-7.0238440071682007E-2</v>
      </c>
      <c r="I637">
        <f t="shared" ca="1" si="76"/>
        <v>-1.8964378819354142</v>
      </c>
      <c r="J637" s="3">
        <f t="shared" ca="1" si="77"/>
        <v>68.468091760889365</v>
      </c>
      <c r="K637" s="3">
        <f t="shared" ca="1" si="78"/>
        <v>3.1877390979104803E-3</v>
      </c>
      <c r="L637" s="3"/>
    </row>
    <row r="638" spans="1:12" x14ac:dyDescent="0.3">
      <c r="A638">
        <v>636</v>
      </c>
      <c r="B638" s="2">
        <f t="shared" si="72"/>
        <v>16434.108527131782</v>
      </c>
      <c r="C638" s="2">
        <f t="shared" si="73"/>
        <v>3.4086357133209107E-3</v>
      </c>
      <c r="D638" s="2">
        <f t="shared" si="74"/>
        <v>20.22250563092183</v>
      </c>
      <c r="E638" s="3">
        <f t="shared" si="79"/>
        <v>68.400510135659289</v>
      </c>
      <c r="F638" cm="1">
        <f t="array" aca="1" ref="F638" ca="1">INDEX($O$2:$O$34,INT(A638/$Z$1)+1)</f>
        <v>70.364529642824778</v>
      </c>
      <c r="G638" cm="1">
        <f t="array" aca="1" ref="G638" ca="1">INDEX($O$2:$O$34,INT(A638/$Z$1)+2)</f>
        <v>68.116899560530953</v>
      </c>
      <c r="H638">
        <f t="shared" ca="1" si="75"/>
        <v>-7.0238440071682007E-2</v>
      </c>
      <c r="I638">
        <f t="shared" ca="1" si="76"/>
        <v>-1.9666763220070962</v>
      </c>
      <c r="J638" s="3">
        <f t="shared" ca="1" si="77"/>
        <v>68.397853320817688</v>
      </c>
      <c r="K638" s="3">
        <f t="shared" ca="1" si="78"/>
        <v>2.6568148416004078E-3</v>
      </c>
      <c r="L638" s="3"/>
    </row>
    <row r="639" spans="1:12" x14ac:dyDescent="0.3">
      <c r="A639">
        <v>637</v>
      </c>
      <c r="B639" s="2">
        <f t="shared" si="72"/>
        <v>16502.59067357513</v>
      </c>
      <c r="C639" s="2">
        <f t="shared" si="73"/>
        <v>3.4090929226966303E-3</v>
      </c>
      <c r="D639" s="2">
        <f t="shared" si="74"/>
        <v>20.183160073850104</v>
      </c>
      <c r="E639" s="3">
        <f t="shared" si="79"/>
        <v>68.329688132930187</v>
      </c>
      <c r="F639" cm="1">
        <f t="array" aca="1" ref="F639" ca="1">INDEX($O$2:$O$34,INT(A639/$Z$1)+1)</f>
        <v>70.364529642824778</v>
      </c>
      <c r="G639" cm="1">
        <f t="array" aca="1" ref="G639" ca="1">INDEX($O$2:$O$34,INT(A639/$Z$1)+2)</f>
        <v>68.116899560530953</v>
      </c>
      <c r="H639">
        <f t="shared" ca="1" si="75"/>
        <v>-7.0238440071682007E-2</v>
      </c>
      <c r="I639">
        <f t="shared" ca="1" si="76"/>
        <v>-2.0369147620787782</v>
      </c>
      <c r="J639" s="3">
        <f t="shared" ca="1" si="77"/>
        <v>68.327614880745998</v>
      </c>
      <c r="K639" s="3">
        <f t="shared" ca="1" si="78"/>
        <v>2.0732521841893004E-3</v>
      </c>
      <c r="L639" s="3"/>
    </row>
    <row r="640" spans="1:12" x14ac:dyDescent="0.3">
      <c r="A640">
        <v>638</v>
      </c>
      <c r="B640" s="2">
        <f t="shared" si="72"/>
        <v>16571.428571428572</v>
      </c>
      <c r="C640" s="2">
        <f t="shared" si="73"/>
        <v>3.4095505990381662E-3</v>
      </c>
      <c r="D640" s="2">
        <f t="shared" si="74"/>
        <v>20.143784900009962</v>
      </c>
      <c r="E640" s="3">
        <f t="shared" si="79"/>
        <v>68.258812820017937</v>
      </c>
      <c r="F640" cm="1">
        <f t="array" aca="1" ref="F640" ca="1">INDEX($O$2:$O$34,INT(A640/$Z$1)+1)</f>
        <v>70.364529642824778</v>
      </c>
      <c r="G640" cm="1">
        <f t="array" aca="1" ref="G640" ca="1">INDEX($O$2:$O$34,INT(A640/$Z$1)+2)</f>
        <v>68.116899560530953</v>
      </c>
      <c r="H640">
        <f t="shared" ca="1" si="75"/>
        <v>-7.0238440071682007E-2</v>
      </c>
      <c r="I640">
        <f t="shared" ca="1" si="76"/>
        <v>-2.1071532021504602</v>
      </c>
      <c r="J640" s="3">
        <f t="shared" ca="1" si="77"/>
        <v>68.257376440674321</v>
      </c>
      <c r="K640" s="3">
        <f t="shared" ca="1" si="78"/>
        <v>1.4363793436160677E-3</v>
      </c>
      <c r="L640" s="3"/>
    </row>
    <row r="641" spans="1:12" x14ac:dyDescent="0.3">
      <c r="A641">
        <v>639</v>
      </c>
      <c r="B641" s="2">
        <f t="shared" si="72"/>
        <v>16640.625</v>
      </c>
      <c r="C641" s="2">
        <f t="shared" si="73"/>
        <v>3.4100087470326492E-3</v>
      </c>
      <c r="D641" s="2">
        <f t="shared" si="74"/>
        <v>20.10437973441816</v>
      </c>
      <c r="E641" s="3">
        <f t="shared" si="79"/>
        <v>68.187883521952685</v>
      </c>
      <c r="F641" cm="1">
        <f t="array" aca="1" ref="F641" ca="1">INDEX($O$2:$O$34,INT(A641/$Z$1)+1)</f>
        <v>70.364529642824778</v>
      </c>
      <c r="G641" cm="1">
        <f t="array" aca="1" ref="G641" ca="1">INDEX($O$2:$O$34,INT(A641/$Z$1)+2)</f>
        <v>68.116899560530953</v>
      </c>
      <c r="H641">
        <f t="shared" ca="1" si="75"/>
        <v>-7.0238440071682007E-2</v>
      </c>
      <c r="I641">
        <f t="shared" ca="1" si="76"/>
        <v>-2.1773916422221422</v>
      </c>
      <c r="J641" s="3">
        <f t="shared" ca="1" si="77"/>
        <v>68.18713800060263</v>
      </c>
      <c r="K641" s="3">
        <f t="shared" ca="1" si="78"/>
        <v>7.4552135005490072E-4</v>
      </c>
      <c r="L641" s="3"/>
    </row>
    <row r="642" spans="1:12" x14ac:dyDescent="0.3">
      <c r="A642">
        <v>640</v>
      </c>
      <c r="B642" s="2">
        <f t="shared" ref="B642:B705" si="80">$T$1*A642/($V$1-A642)</f>
        <v>16710.182767624021</v>
      </c>
      <c r="C642" s="2">
        <f t="shared" ref="C642:C705" si="81">LOG(B642/$T$2)/$T$3 + (1/$X$2)</f>
        <v>3.4104673713932555E-3</v>
      </c>
      <c r="D642" s="2">
        <f t="shared" ref="D642:D705" si="82">1/C642 - 273.15</f>
        <v>20.064944200294974</v>
      </c>
      <c r="E642" s="3">
        <f t="shared" si="79"/>
        <v>68.116899560530953</v>
      </c>
      <c r="F642" cm="1">
        <f t="array" aca="1" ref="F642" ca="1">INDEX($O$2:$O$34,INT(A642/$Z$1)+1)</f>
        <v>68.116899560530953</v>
      </c>
      <c r="G642" cm="1">
        <f t="array" aca="1" ref="G642" ca="1">INDEX($O$2:$O$34,INT(A642/$Z$1)+2)</f>
        <v>65.81230453754813</v>
      </c>
      <c r="H642">
        <f t="shared" ca="1" si="75"/>
        <v>-7.2018594468213237E-2</v>
      </c>
      <c r="I642">
        <f t="shared" ca="1" si="76"/>
        <v>0</v>
      </c>
      <c r="J642" s="3">
        <f t="shared" ca="1" si="77"/>
        <v>68.116899560530953</v>
      </c>
      <c r="K642" s="3">
        <f t="shared" ca="1" si="78"/>
        <v>0</v>
      </c>
      <c r="L642" s="3"/>
    </row>
    <row r="643" spans="1:12" x14ac:dyDescent="0.3">
      <c r="A643">
        <v>641</v>
      </c>
      <c r="B643" s="2">
        <f t="shared" si="80"/>
        <v>16780.104712041884</v>
      </c>
      <c r="C643" s="2">
        <f t="shared" si="81"/>
        <v>3.4109264768595452E-3</v>
      </c>
      <c r="D643" s="2">
        <f t="shared" si="82"/>
        <v>20.025477919038678</v>
      </c>
      <c r="E643" s="3">
        <f t="shared" si="79"/>
        <v>68.045860254269627</v>
      </c>
      <c r="F643" cm="1">
        <f t="array" aca="1" ref="F643" ca="1">INDEX($O$2:$O$34,INT(A643/$Z$1)+1)</f>
        <v>68.116899560530953</v>
      </c>
      <c r="G643" cm="1">
        <f t="array" aca="1" ref="G643" ca="1">INDEX($O$2:$O$34,INT(A643/$Z$1)+2)</f>
        <v>65.81230453754813</v>
      </c>
      <c r="H643">
        <f t="shared" ref="H643:H706" ca="1" si="83">(G643-F643)/$Z$1</f>
        <v>-7.2018594468213237E-2</v>
      </c>
      <c r="I643">
        <f t="shared" ref="I643:I706" ca="1" si="84">H643*MOD(A643,$Z$1)</f>
        <v>-7.2018594468213237E-2</v>
      </c>
      <c r="J643" s="3">
        <f t="shared" ref="J643:J706" ca="1" si="85">F643+I643</f>
        <v>68.044880966062735</v>
      </c>
      <c r="K643" s="3">
        <f t="shared" ref="K643:K706" ca="1" si="86">E643-J643</f>
        <v>9.7928820689219265E-4</v>
      </c>
      <c r="L643" s="3"/>
    </row>
    <row r="644" spans="1:12" x14ac:dyDescent="0.3">
      <c r="A644">
        <v>642</v>
      </c>
      <c r="B644" s="2">
        <f t="shared" si="80"/>
        <v>16850.393700787401</v>
      </c>
      <c r="C644" s="2">
        <f t="shared" si="81"/>
        <v>3.4113860681978048E-3</v>
      </c>
      <c r="D644" s="2">
        <f t="shared" si="82"/>
        <v>19.985980510200193</v>
      </c>
      <c r="E644" s="3">
        <f t="shared" ref="E644:E707" si="87">D644*9/5 + 32</f>
        <v>67.97476491836035</v>
      </c>
      <c r="F644" cm="1">
        <f t="array" aca="1" ref="F644" ca="1">INDEX($O$2:$O$34,INT(A644/$Z$1)+1)</f>
        <v>68.116899560530953</v>
      </c>
      <c r="G644" cm="1">
        <f t="array" aca="1" ref="G644" ca="1">INDEX($O$2:$O$34,INT(A644/$Z$1)+2)</f>
        <v>65.81230453754813</v>
      </c>
      <c r="H644">
        <f t="shared" ca="1" si="83"/>
        <v>-7.2018594468213237E-2</v>
      </c>
      <c r="I644">
        <f t="shared" ca="1" si="84"/>
        <v>-0.14403718893642647</v>
      </c>
      <c r="J644" s="3">
        <f t="shared" ca="1" si="85"/>
        <v>67.97286237159453</v>
      </c>
      <c r="K644" s="3">
        <f t="shared" ca="1" si="86"/>
        <v>1.9025467658195794E-3</v>
      </c>
      <c r="L644" s="3"/>
    </row>
    <row r="645" spans="1:12" x14ac:dyDescent="0.3">
      <c r="A645">
        <v>643</v>
      </c>
      <c r="B645" s="2">
        <f t="shared" si="80"/>
        <v>16921.052631578947</v>
      </c>
      <c r="C645" s="2">
        <f t="shared" si="81"/>
        <v>3.4118461502013939E-3</v>
      </c>
      <c r="D645" s="2">
        <f t="shared" si="82"/>
        <v>19.94645159145648</v>
      </c>
      <c r="E645" s="3">
        <f t="shared" si="87"/>
        <v>67.903612864621664</v>
      </c>
      <c r="F645" cm="1">
        <f t="array" aca="1" ref="F645" ca="1">INDEX($O$2:$O$34,INT(A645/$Z$1)+1)</f>
        <v>68.116899560530953</v>
      </c>
      <c r="G645" cm="1">
        <f t="array" aca="1" ref="G645" ca="1">INDEX($O$2:$O$34,INT(A645/$Z$1)+2)</f>
        <v>65.81230453754813</v>
      </c>
      <c r="H645">
        <f t="shared" ca="1" si="83"/>
        <v>-7.2018594468213237E-2</v>
      </c>
      <c r="I645">
        <f t="shared" ca="1" si="84"/>
        <v>-0.21605578340463971</v>
      </c>
      <c r="J645" s="3">
        <f t="shared" ca="1" si="85"/>
        <v>67.900843777126312</v>
      </c>
      <c r="K645" s="3">
        <f t="shared" ca="1" si="86"/>
        <v>2.7690874953520961E-3</v>
      </c>
      <c r="L645" s="3"/>
    </row>
    <row r="646" spans="1:12" x14ac:dyDescent="0.3">
      <c r="A646">
        <v>644</v>
      </c>
      <c r="B646" s="2">
        <f t="shared" si="80"/>
        <v>16992.084432717678</v>
      </c>
      <c r="C646" s="2">
        <f t="shared" si="81"/>
        <v>3.4123067276910974E-3</v>
      </c>
      <c r="D646" s="2">
        <f t="shared" si="82"/>
        <v>19.906890778584795</v>
      </c>
      <c r="E646" s="3">
        <f t="shared" si="87"/>
        <v>67.832403401452638</v>
      </c>
      <c r="F646" cm="1">
        <f t="array" aca="1" ref="F646" ca="1">INDEX($O$2:$O$34,INT(A646/$Z$1)+1)</f>
        <v>68.116899560530953</v>
      </c>
      <c r="G646" cm="1">
        <f t="array" aca="1" ref="G646" ca="1">INDEX($O$2:$O$34,INT(A646/$Z$1)+2)</f>
        <v>65.81230453754813</v>
      </c>
      <c r="H646">
        <f t="shared" ca="1" si="83"/>
        <v>-7.2018594468213237E-2</v>
      </c>
      <c r="I646">
        <f t="shared" ca="1" si="84"/>
        <v>-0.28807437787285295</v>
      </c>
      <c r="J646" s="3">
        <f t="shared" ca="1" si="85"/>
        <v>67.828825182658107</v>
      </c>
      <c r="K646" s="3">
        <f t="shared" ca="1" si="86"/>
        <v>3.5782187945301303E-3</v>
      </c>
      <c r="L646" s="3"/>
    </row>
    <row r="647" spans="1:12" x14ac:dyDescent="0.3">
      <c r="A647">
        <v>645</v>
      </c>
      <c r="B647" s="2">
        <f t="shared" si="80"/>
        <v>17063.492063492064</v>
      </c>
      <c r="C647" s="2">
        <f t="shared" si="81"/>
        <v>3.4127678055154778E-3</v>
      </c>
      <c r="D647" s="2">
        <f t="shared" si="82"/>
        <v>19.867297685435744</v>
      </c>
      <c r="E647" s="3">
        <f t="shared" si="87"/>
        <v>67.761135833784337</v>
      </c>
      <c r="F647" cm="1">
        <f t="array" aca="1" ref="F647" ca="1">INDEX($O$2:$O$34,INT(A647/$Z$1)+1)</f>
        <v>68.116899560530953</v>
      </c>
      <c r="G647" cm="1">
        <f t="array" aca="1" ref="G647" ca="1">INDEX($O$2:$O$34,INT(A647/$Z$1)+2)</f>
        <v>65.81230453754813</v>
      </c>
      <c r="H647">
        <f t="shared" ca="1" si="83"/>
        <v>-7.2018594468213237E-2</v>
      </c>
      <c r="I647">
        <f t="shared" ca="1" si="84"/>
        <v>-0.36009297234106619</v>
      </c>
      <c r="J647" s="3">
        <f t="shared" ca="1" si="85"/>
        <v>67.756806588189889</v>
      </c>
      <c r="K647" s="3">
        <f t="shared" ca="1" si="86"/>
        <v>4.3292455944481389E-3</v>
      </c>
      <c r="L647" s="3"/>
    </row>
    <row r="648" spans="1:12" x14ac:dyDescent="0.3">
      <c r="A648">
        <v>646</v>
      </c>
      <c r="B648" s="2">
        <f t="shared" si="80"/>
        <v>17135.278514588859</v>
      </c>
      <c r="C648" s="2">
        <f t="shared" si="81"/>
        <v>3.413229388551237E-3</v>
      </c>
      <c r="D648" s="2">
        <f t="shared" si="82"/>
        <v>19.827671923906451</v>
      </c>
      <c r="E648" s="3">
        <f t="shared" si="87"/>
        <v>67.689809463031608</v>
      </c>
      <c r="F648" cm="1">
        <f t="array" aca="1" ref="F648" ca="1">INDEX($O$2:$O$34,INT(A648/$Z$1)+1)</f>
        <v>68.116899560530953</v>
      </c>
      <c r="G648" cm="1">
        <f t="array" aca="1" ref="G648" ca="1">INDEX($O$2:$O$34,INT(A648/$Z$1)+2)</f>
        <v>65.81230453754813</v>
      </c>
      <c r="H648">
        <f t="shared" ca="1" si="83"/>
        <v>-7.2018594468213237E-2</v>
      </c>
      <c r="I648">
        <f t="shared" ca="1" si="84"/>
        <v>-0.43211156680927942</v>
      </c>
      <c r="J648" s="3">
        <f t="shared" ca="1" si="85"/>
        <v>67.68478799372167</v>
      </c>
      <c r="K648" s="3">
        <f t="shared" ca="1" si="86"/>
        <v>5.0214693099377428E-3</v>
      </c>
      <c r="L648" s="3"/>
    </row>
    <row r="649" spans="1:12" x14ac:dyDescent="0.3">
      <c r="A649">
        <v>647</v>
      </c>
      <c r="B649" s="2">
        <f t="shared" si="80"/>
        <v>17207.446808510638</v>
      </c>
      <c r="C649" s="2">
        <f t="shared" si="81"/>
        <v>3.4136914817035784E-3</v>
      </c>
      <c r="D649" s="2">
        <f t="shared" si="82"/>
        <v>19.788013103913329</v>
      </c>
      <c r="E649" s="3">
        <f t="shared" si="87"/>
        <v>67.618423587043992</v>
      </c>
      <c r="F649" cm="1">
        <f t="array" aca="1" ref="F649" ca="1">INDEX($O$2:$O$34,INT(A649/$Z$1)+1)</f>
        <v>68.116899560530953</v>
      </c>
      <c r="G649" cm="1">
        <f t="array" aca="1" ref="G649" ca="1">INDEX($O$2:$O$34,INT(A649/$Z$1)+2)</f>
        <v>65.81230453754813</v>
      </c>
      <c r="H649">
        <f t="shared" ca="1" si="83"/>
        <v>-7.2018594468213237E-2</v>
      </c>
      <c r="I649">
        <f t="shared" ca="1" si="84"/>
        <v>-0.50413016127749266</v>
      </c>
      <c r="J649" s="3">
        <f t="shared" ca="1" si="85"/>
        <v>67.612769399253466</v>
      </c>
      <c r="K649" s="3">
        <f t="shared" ca="1" si="86"/>
        <v>5.6541877905260662E-3</v>
      </c>
      <c r="L649" s="3"/>
    </row>
    <row r="650" spans="1:12" x14ac:dyDescent="0.3">
      <c r="A650">
        <v>648</v>
      </c>
      <c r="B650" s="2">
        <f t="shared" si="80"/>
        <v>17280</v>
      </c>
      <c r="C650" s="2">
        <f t="shared" si="81"/>
        <v>3.4141540899065743E-3</v>
      </c>
      <c r="D650" s="2">
        <f t="shared" si="82"/>
        <v>19.748320833364687</v>
      </c>
      <c r="E650" s="3">
        <f t="shared" si="87"/>
        <v>67.546977500056443</v>
      </c>
      <c r="F650" cm="1">
        <f t="array" aca="1" ref="F650" ca="1">INDEX($O$2:$O$34,INT(A650/$Z$1)+1)</f>
        <v>68.116899560530953</v>
      </c>
      <c r="G650" cm="1">
        <f t="array" aca="1" ref="G650" ca="1">INDEX($O$2:$O$34,INT(A650/$Z$1)+2)</f>
        <v>65.81230453754813</v>
      </c>
      <c r="H650">
        <f t="shared" ca="1" si="83"/>
        <v>-7.2018594468213237E-2</v>
      </c>
      <c r="I650">
        <f t="shared" ca="1" si="84"/>
        <v>-0.5761487557457059</v>
      </c>
      <c r="J650" s="3">
        <f t="shared" ca="1" si="85"/>
        <v>67.540750804785247</v>
      </c>
      <c r="K650" s="3">
        <f t="shared" ca="1" si="86"/>
        <v>6.2266952711951262E-3</v>
      </c>
      <c r="L650" s="3"/>
    </row>
    <row r="651" spans="1:12" x14ac:dyDescent="0.3">
      <c r="A651">
        <v>649</v>
      </c>
      <c r="B651" s="2">
        <f t="shared" si="80"/>
        <v>17352.941176470587</v>
      </c>
      <c r="C651" s="2">
        <f t="shared" si="81"/>
        <v>3.4146172181235401E-3</v>
      </c>
      <c r="D651" s="2">
        <f t="shared" si="82"/>
        <v>19.708594718132872</v>
      </c>
      <c r="E651" s="3">
        <f t="shared" si="87"/>
        <v>67.475470492639175</v>
      </c>
      <c r="F651" cm="1">
        <f t="array" aca="1" ref="F651" ca="1">INDEX($O$2:$O$34,INT(A651/$Z$1)+1)</f>
        <v>68.116899560530953</v>
      </c>
      <c r="G651" cm="1">
        <f t="array" aca="1" ref="G651" ca="1">INDEX($O$2:$O$34,INT(A651/$Z$1)+2)</f>
        <v>65.81230453754813</v>
      </c>
      <c r="H651">
        <f t="shared" ca="1" si="83"/>
        <v>-7.2018594468213237E-2</v>
      </c>
      <c r="I651">
        <f t="shared" ca="1" si="84"/>
        <v>-0.64816735021391914</v>
      </c>
      <c r="J651" s="3">
        <f t="shared" ca="1" si="85"/>
        <v>67.468732210317029</v>
      </c>
      <c r="K651" s="3">
        <f t="shared" ca="1" si="86"/>
        <v>6.7382823221464605E-3</v>
      </c>
      <c r="L651" s="3"/>
    </row>
    <row r="652" spans="1:12" x14ac:dyDescent="0.3">
      <c r="A652">
        <v>650</v>
      </c>
      <c r="B652" s="2">
        <f t="shared" si="80"/>
        <v>17426.273458445041</v>
      </c>
      <c r="C652" s="2">
        <f t="shared" si="81"/>
        <v>3.4150808713474083E-3</v>
      </c>
      <c r="D652" s="2">
        <f t="shared" si="82"/>
        <v>19.668834362025962</v>
      </c>
      <c r="E652" s="3">
        <f t="shared" si="87"/>
        <v>67.403901851646737</v>
      </c>
      <c r="F652" cm="1">
        <f t="array" aca="1" ref="F652" ca="1">INDEX($O$2:$O$34,INT(A652/$Z$1)+1)</f>
        <v>68.116899560530953</v>
      </c>
      <c r="G652" cm="1">
        <f t="array" aca="1" ref="G652" ca="1">INDEX($O$2:$O$34,INT(A652/$Z$1)+2)</f>
        <v>65.81230453754813</v>
      </c>
      <c r="H652">
        <f t="shared" ca="1" si="83"/>
        <v>-7.2018594468213237E-2</v>
      </c>
      <c r="I652">
        <f t="shared" ca="1" si="84"/>
        <v>-0.72018594468213237</v>
      </c>
      <c r="J652" s="3">
        <f t="shared" ca="1" si="85"/>
        <v>67.396713615848824</v>
      </c>
      <c r="K652" s="3">
        <f t="shared" ca="1" si="86"/>
        <v>7.188235797912057E-3</v>
      </c>
      <c r="L652" s="3"/>
    </row>
    <row r="653" spans="1:12" x14ac:dyDescent="0.3">
      <c r="A653">
        <v>651</v>
      </c>
      <c r="B653" s="2">
        <f t="shared" si="80"/>
        <v>17500</v>
      </c>
      <c r="C653" s="2">
        <f t="shared" si="81"/>
        <v>3.4155450546011113E-3</v>
      </c>
      <c r="D653" s="2">
        <f t="shared" si="82"/>
        <v>19.629039366759685</v>
      </c>
      <c r="E653" s="3">
        <f t="shared" si="87"/>
        <v>67.332270860167426</v>
      </c>
      <c r="F653" cm="1">
        <f t="array" aca="1" ref="F653" ca="1">INDEX($O$2:$O$34,INT(A653/$Z$1)+1)</f>
        <v>68.116899560530953</v>
      </c>
      <c r="G653" cm="1">
        <f t="array" aca="1" ref="G653" ca="1">INDEX($O$2:$O$34,INT(A653/$Z$1)+2)</f>
        <v>65.81230453754813</v>
      </c>
      <c r="H653">
        <f t="shared" ca="1" si="83"/>
        <v>-7.2018594468213237E-2</v>
      </c>
      <c r="I653">
        <f t="shared" ca="1" si="84"/>
        <v>-0.79220453915034561</v>
      </c>
      <c r="J653" s="3">
        <f t="shared" ca="1" si="85"/>
        <v>67.324695021380606</v>
      </c>
      <c r="K653" s="3">
        <f t="shared" ca="1" si="86"/>
        <v>7.5758387868205546E-3</v>
      </c>
      <c r="L653" s="3"/>
    </row>
    <row r="654" spans="1:12" x14ac:dyDescent="0.3">
      <c r="A654">
        <v>652</v>
      </c>
      <c r="B654" s="2">
        <f t="shared" si="80"/>
        <v>17574.123989218329</v>
      </c>
      <c r="C654" s="2">
        <f t="shared" si="81"/>
        <v>3.4160097729379669E-3</v>
      </c>
      <c r="D654" s="2">
        <f t="shared" si="82"/>
        <v>19.589209331928203</v>
      </c>
      <c r="E654" s="3">
        <f t="shared" si="87"/>
        <v>67.260576797470762</v>
      </c>
      <c r="F654" cm="1">
        <f t="array" aca="1" ref="F654" ca="1">INDEX($O$2:$O$34,INT(A654/$Z$1)+1)</f>
        <v>68.116899560530953</v>
      </c>
      <c r="G654" cm="1">
        <f t="array" aca="1" ref="G654" ca="1">INDEX($O$2:$O$34,INT(A654/$Z$1)+2)</f>
        <v>65.81230453754813</v>
      </c>
      <c r="H654">
        <f t="shared" ca="1" si="83"/>
        <v>-7.2018594468213237E-2</v>
      </c>
      <c r="I654">
        <f t="shared" ca="1" si="84"/>
        <v>-0.86422313361855885</v>
      </c>
      <c r="J654" s="3">
        <f t="shared" ca="1" si="85"/>
        <v>67.252676426912387</v>
      </c>
      <c r="K654" s="3">
        <f t="shared" ca="1" si="86"/>
        <v>7.9003705583744477E-3</v>
      </c>
      <c r="L654" s="3"/>
    </row>
    <row r="655" spans="1:12" x14ac:dyDescent="0.3">
      <c r="A655">
        <v>653</v>
      </c>
      <c r="B655" s="2">
        <f t="shared" si="80"/>
        <v>17648.64864864865</v>
      </c>
      <c r="C655" s="2">
        <f t="shared" si="81"/>
        <v>3.4164750314420694E-3</v>
      </c>
      <c r="D655" s="2">
        <f t="shared" si="82"/>
        <v>19.549343854975348</v>
      </c>
      <c r="E655" s="3">
        <f t="shared" si="87"/>
        <v>67.18881893895562</v>
      </c>
      <c r="F655" cm="1">
        <f t="array" aca="1" ref="F655" ca="1">INDEX($O$2:$O$34,INT(A655/$Z$1)+1)</f>
        <v>68.116899560530953</v>
      </c>
      <c r="G655" cm="1">
        <f t="array" aca="1" ref="G655" ca="1">INDEX($O$2:$O$34,INT(A655/$Z$1)+2)</f>
        <v>65.81230453754813</v>
      </c>
      <c r="H655">
        <f t="shared" ca="1" si="83"/>
        <v>-7.2018594468213237E-2</v>
      </c>
      <c r="I655">
        <f t="shared" ca="1" si="84"/>
        <v>-0.93624172808677208</v>
      </c>
      <c r="J655" s="3">
        <f t="shared" ca="1" si="85"/>
        <v>67.180657832444183</v>
      </c>
      <c r="K655" s="3">
        <f t="shared" ca="1" si="86"/>
        <v>8.1611065114373105E-3</v>
      </c>
      <c r="L655" s="3"/>
    </row>
    <row r="656" spans="1:12" x14ac:dyDescent="0.3">
      <c r="A656">
        <v>654</v>
      </c>
      <c r="B656" s="2">
        <f t="shared" si="80"/>
        <v>17723.577235772358</v>
      </c>
      <c r="C656" s="2">
        <f t="shared" si="81"/>
        <v>3.4169408352286838E-3</v>
      </c>
      <c r="D656" s="2">
        <f t="shared" si="82"/>
        <v>19.509442531165064</v>
      </c>
      <c r="E656" s="3">
        <f t="shared" si="87"/>
        <v>67.116996556097121</v>
      </c>
      <c r="F656" cm="1">
        <f t="array" aca="1" ref="F656" ca="1">INDEX($O$2:$O$34,INT(A656/$Z$1)+1)</f>
        <v>68.116899560530953</v>
      </c>
      <c r="G656" cm="1">
        <f t="array" aca="1" ref="G656" ca="1">INDEX($O$2:$O$34,INT(A656/$Z$1)+2)</f>
        <v>65.81230453754813</v>
      </c>
      <c r="H656">
        <f t="shared" ca="1" si="83"/>
        <v>-7.2018594468213237E-2</v>
      </c>
      <c r="I656">
        <f t="shared" ca="1" si="84"/>
        <v>-1.0082603225549853</v>
      </c>
      <c r="J656" s="3">
        <f t="shared" ca="1" si="85"/>
        <v>67.108639237975964</v>
      </c>
      <c r="K656" s="3">
        <f t="shared" ca="1" si="86"/>
        <v>8.3573181211562542E-3</v>
      </c>
      <c r="L656" s="3"/>
    </row>
    <row r="657" spans="1:12" x14ac:dyDescent="0.3">
      <c r="A657">
        <v>655</v>
      </c>
      <c r="B657" s="2">
        <f t="shared" si="80"/>
        <v>17798.91304347826</v>
      </c>
      <c r="C657" s="2">
        <f t="shared" si="81"/>
        <v>3.4174071894446482E-3</v>
      </c>
      <c r="D657" s="2">
        <f t="shared" si="82"/>
        <v>19.469504953551279</v>
      </c>
      <c r="E657" s="3">
        <f t="shared" si="87"/>
        <v>67.045108916392309</v>
      </c>
      <c r="F657" cm="1">
        <f t="array" aca="1" ref="F657" ca="1">INDEX($O$2:$O$34,INT(A657/$Z$1)+1)</f>
        <v>68.116899560530953</v>
      </c>
      <c r="G657" cm="1">
        <f t="array" aca="1" ref="G657" ca="1">INDEX($O$2:$O$34,INT(A657/$Z$1)+2)</f>
        <v>65.81230453754813</v>
      </c>
      <c r="H657">
        <f t="shared" ca="1" si="83"/>
        <v>-7.2018594468213237E-2</v>
      </c>
      <c r="I657">
        <f t="shared" ca="1" si="84"/>
        <v>-1.0802789170231986</v>
      </c>
      <c r="J657" s="3">
        <f t="shared" ca="1" si="85"/>
        <v>67.03662064350776</v>
      </c>
      <c r="K657" s="3">
        <f t="shared" ca="1" si="86"/>
        <v>8.4882728845485644E-3</v>
      </c>
      <c r="L657" s="3"/>
    </row>
    <row r="658" spans="1:12" x14ac:dyDescent="0.3">
      <c r="A658">
        <v>656</v>
      </c>
      <c r="B658" s="2">
        <f t="shared" si="80"/>
        <v>17874.659400544959</v>
      </c>
      <c r="C658" s="2">
        <f t="shared" si="81"/>
        <v>3.4178740992687759E-3</v>
      </c>
      <c r="D658" s="2">
        <f t="shared" si="82"/>
        <v>19.42953071294852</v>
      </c>
      <c r="E658" s="3">
        <f t="shared" si="87"/>
        <v>66.973155283307335</v>
      </c>
      <c r="F658" cm="1">
        <f t="array" aca="1" ref="F658" ca="1">INDEX($O$2:$O$34,INT(A658/$Z$1)+1)</f>
        <v>68.116899560530953</v>
      </c>
      <c r="G658" cm="1">
        <f t="array" aca="1" ref="G658" ca="1">INDEX($O$2:$O$34,INT(A658/$Z$1)+2)</f>
        <v>65.81230453754813</v>
      </c>
      <c r="H658">
        <f t="shared" ca="1" si="83"/>
        <v>-7.2018594468213237E-2</v>
      </c>
      <c r="I658">
        <f t="shared" ca="1" si="84"/>
        <v>-1.1522975114914118</v>
      </c>
      <c r="J658" s="3">
        <f t="shared" ca="1" si="85"/>
        <v>66.964602049039541</v>
      </c>
      <c r="K658" s="3">
        <f t="shared" ca="1" si="86"/>
        <v>8.5532342677936413E-3</v>
      </c>
      <c r="L658" s="3"/>
    </row>
    <row r="659" spans="1:12" x14ac:dyDescent="0.3">
      <c r="A659">
        <v>657</v>
      </c>
      <c r="B659" s="2">
        <f t="shared" si="80"/>
        <v>17950.819672131147</v>
      </c>
      <c r="C659" s="2">
        <f t="shared" si="81"/>
        <v>3.4183415699122694E-3</v>
      </c>
      <c r="D659" s="2">
        <f t="shared" si="82"/>
        <v>19.389519397900528</v>
      </c>
      <c r="E659" s="3">
        <f t="shared" si="87"/>
        <v>66.901134916220954</v>
      </c>
      <c r="F659" cm="1">
        <f t="array" aca="1" ref="F659" ca="1">INDEX($O$2:$O$34,INT(A659/$Z$1)+1)</f>
        <v>68.116899560530953</v>
      </c>
      <c r="G659" cm="1">
        <f t="array" aca="1" ref="G659" ca="1">INDEX($O$2:$O$34,INT(A659/$Z$1)+2)</f>
        <v>65.81230453754813</v>
      </c>
      <c r="H659">
        <f t="shared" ca="1" si="83"/>
        <v>-7.2018594468213237E-2</v>
      </c>
      <c r="I659">
        <f t="shared" ca="1" si="84"/>
        <v>-1.224316105959625</v>
      </c>
      <c r="J659" s="3">
        <f t="shared" ca="1" si="85"/>
        <v>66.892583454571323</v>
      </c>
      <c r="K659" s="3">
        <f t="shared" ca="1" si="86"/>
        <v>8.5514616496311646E-3</v>
      </c>
      <c r="L659" s="3"/>
    </row>
    <row r="660" spans="1:12" x14ac:dyDescent="0.3">
      <c r="A660">
        <v>658</v>
      </c>
      <c r="B660" s="2">
        <f t="shared" si="80"/>
        <v>18027.397260273974</v>
      </c>
      <c r="C660" s="2">
        <f t="shared" si="81"/>
        <v>3.418809606619133E-3</v>
      </c>
      <c r="D660" s="2">
        <f t="shared" si="82"/>
        <v>19.349470594650029</v>
      </c>
      <c r="E660" s="3">
        <f t="shared" si="87"/>
        <v>66.829047070370052</v>
      </c>
      <c r="F660" cm="1">
        <f t="array" aca="1" ref="F660" ca="1">INDEX($O$2:$O$34,INT(A660/$Z$1)+1)</f>
        <v>68.116899560530953</v>
      </c>
      <c r="G660" cm="1">
        <f t="array" aca="1" ref="G660" ca="1">INDEX($O$2:$O$34,INT(A660/$Z$1)+2)</f>
        <v>65.81230453754813</v>
      </c>
      <c r="H660">
        <f t="shared" ca="1" si="83"/>
        <v>-7.2018594468213237E-2</v>
      </c>
      <c r="I660">
        <f t="shared" ca="1" si="84"/>
        <v>-1.2963347004278383</v>
      </c>
      <c r="J660" s="3">
        <f t="shared" ca="1" si="85"/>
        <v>66.820564860103119</v>
      </c>
      <c r="K660" s="3">
        <f t="shared" ca="1" si="86"/>
        <v>8.4822102669335209E-3</v>
      </c>
      <c r="L660" s="3"/>
    </row>
    <row r="661" spans="1:12" x14ac:dyDescent="0.3">
      <c r="A661">
        <v>659</v>
      </c>
      <c r="B661" s="2">
        <f t="shared" si="80"/>
        <v>18104.395604395606</v>
      </c>
      <c r="C661" s="2">
        <f t="shared" si="81"/>
        <v>3.4192782146665948E-3</v>
      </c>
      <c r="D661" s="2">
        <f t="shared" si="82"/>
        <v>19.309383887107174</v>
      </c>
      <c r="E661" s="3">
        <f t="shared" si="87"/>
        <v>66.756890996792919</v>
      </c>
      <c r="F661" cm="1">
        <f t="array" aca="1" ref="F661" ca="1">INDEX($O$2:$O$34,INT(A661/$Z$1)+1)</f>
        <v>68.116899560530953</v>
      </c>
      <c r="G661" cm="1">
        <f t="array" aca="1" ref="G661" ca="1">INDEX($O$2:$O$34,INT(A661/$Z$1)+2)</f>
        <v>65.81230453754813</v>
      </c>
      <c r="H661">
        <f t="shared" ca="1" si="83"/>
        <v>-7.2018594468213237E-2</v>
      </c>
      <c r="I661">
        <f t="shared" ca="1" si="84"/>
        <v>-1.3683532948960515</v>
      </c>
      <c r="J661" s="3">
        <f t="shared" ca="1" si="85"/>
        <v>66.7485462656349</v>
      </c>
      <c r="K661" s="3">
        <f t="shared" ca="1" si="86"/>
        <v>8.3447311580187034E-3</v>
      </c>
      <c r="L661" s="3"/>
    </row>
    <row r="662" spans="1:12" x14ac:dyDescent="0.3">
      <c r="A662">
        <v>660</v>
      </c>
      <c r="B662" s="2">
        <f t="shared" si="80"/>
        <v>18181.81818181818</v>
      </c>
      <c r="C662" s="2">
        <f t="shared" si="81"/>
        <v>3.4197473993655319E-3</v>
      </c>
      <c r="D662" s="2">
        <f t="shared" si="82"/>
        <v>19.269258856818112</v>
      </c>
      <c r="E662" s="3">
        <f t="shared" si="87"/>
        <v>66.684665942272602</v>
      </c>
      <c r="F662" cm="1">
        <f t="array" aca="1" ref="F662" ca="1">INDEX($O$2:$O$34,INT(A662/$Z$1)+1)</f>
        <v>68.116899560530953</v>
      </c>
      <c r="G662" cm="1">
        <f t="array" aca="1" ref="G662" ca="1">INDEX($O$2:$O$34,INT(A662/$Z$1)+2)</f>
        <v>65.81230453754813</v>
      </c>
      <c r="H662">
        <f t="shared" ca="1" si="83"/>
        <v>-7.2018594468213237E-2</v>
      </c>
      <c r="I662">
        <f t="shared" ca="1" si="84"/>
        <v>-1.4403718893642647</v>
      </c>
      <c r="J662" s="3">
        <f t="shared" ca="1" si="85"/>
        <v>66.676527671166696</v>
      </c>
      <c r="K662" s="3">
        <f t="shared" ca="1" si="86"/>
        <v>8.1382711059063695E-3</v>
      </c>
      <c r="L662" s="3"/>
    </row>
    <row r="663" spans="1:12" x14ac:dyDescent="0.3">
      <c r="A663">
        <v>661</v>
      </c>
      <c r="B663" s="2">
        <f t="shared" si="80"/>
        <v>18259.668508287294</v>
      </c>
      <c r="C663" s="2">
        <f t="shared" si="81"/>
        <v>3.4202171660609034E-3</v>
      </c>
      <c r="D663" s="2">
        <f t="shared" si="82"/>
        <v>19.229095082932872</v>
      </c>
      <c r="E663" s="3">
        <f t="shared" si="87"/>
        <v>66.61237114927917</v>
      </c>
      <c r="F663" cm="1">
        <f t="array" aca="1" ref="F663" ca="1">INDEX($O$2:$O$34,INT(A663/$Z$1)+1)</f>
        <v>68.116899560530953</v>
      </c>
      <c r="G663" cm="1">
        <f t="array" aca="1" ref="G663" ca="1">INDEX($O$2:$O$34,INT(A663/$Z$1)+2)</f>
        <v>65.81230453754813</v>
      </c>
      <c r="H663">
        <f t="shared" ca="1" si="83"/>
        <v>-7.2018594468213237E-2</v>
      </c>
      <c r="I663">
        <f t="shared" ca="1" si="84"/>
        <v>-1.512390483832478</v>
      </c>
      <c r="J663" s="3">
        <f t="shared" ca="1" si="85"/>
        <v>66.604509076698477</v>
      </c>
      <c r="K663" s="3">
        <f t="shared" ca="1" si="86"/>
        <v>7.8620725806928249E-3</v>
      </c>
      <c r="L663" s="3"/>
    </row>
    <row r="664" spans="1:12" x14ac:dyDescent="0.3">
      <c r="A664">
        <v>662</v>
      </c>
      <c r="B664" s="2">
        <f t="shared" si="80"/>
        <v>18337.950138504155</v>
      </c>
      <c r="C664" s="2">
        <f t="shared" si="81"/>
        <v>3.4206875201321864E-3</v>
      </c>
      <c r="D664" s="2">
        <f t="shared" si="82"/>
        <v>19.188892142172904</v>
      </c>
      <c r="E664" s="3">
        <f t="shared" si="87"/>
        <v>66.540005855911232</v>
      </c>
      <c r="F664" cm="1">
        <f t="array" aca="1" ref="F664" ca="1">INDEX($O$2:$O$34,INT(A664/$Z$1)+1)</f>
        <v>68.116899560530953</v>
      </c>
      <c r="G664" cm="1">
        <f t="array" aca="1" ref="G664" ca="1">INDEX($O$2:$O$34,INT(A664/$Z$1)+2)</f>
        <v>65.81230453754813</v>
      </c>
      <c r="H664">
        <f t="shared" ca="1" si="83"/>
        <v>-7.2018594468213237E-2</v>
      </c>
      <c r="I664">
        <f t="shared" ca="1" si="84"/>
        <v>-1.5844090783006912</v>
      </c>
      <c r="J664" s="3">
        <f t="shared" ca="1" si="85"/>
        <v>66.532490482230259</v>
      </c>
      <c r="K664" s="3">
        <f t="shared" ca="1" si="86"/>
        <v>7.5153736809738803E-3</v>
      </c>
      <c r="L664" s="3"/>
    </row>
    <row r="665" spans="1:12" x14ac:dyDescent="0.3">
      <c r="A665">
        <v>663</v>
      </c>
      <c r="B665" s="2">
        <f t="shared" si="80"/>
        <v>18416.666666666668</v>
      </c>
      <c r="C665" s="2">
        <f t="shared" si="81"/>
        <v>3.4211584669938178E-3</v>
      </c>
      <c r="D665" s="2">
        <f t="shared" si="82"/>
        <v>19.148649608798451</v>
      </c>
      <c r="E665" s="3">
        <f t="shared" si="87"/>
        <v>66.467569295837208</v>
      </c>
      <c r="F665" cm="1">
        <f t="array" aca="1" ref="F665" ca="1">INDEX($O$2:$O$34,INT(A665/$Z$1)+1)</f>
        <v>68.116899560530953</v>
      </c>
      <c r="G665" cm="1">
        <f t="array" aca="1" ref="G665" ca="1">INDEX($O$2:$O$34,INT(A665/$Z$1)+2)</f>
        <v>65.81230453754813</v>
      </c>
      <c r="H665">
        <f t="shared" ca="1" si="83"/>
        <v>-7.2018594468213237E-2</v>
      </c>
      <c r="I665">
        <f t="shared" ca="1" si="84"/>
        <v>-1.6564276727689045</v>
      </c>
      <c r="J665" s="3">
        <f t="shared" ca="1" si="85"/>
        <v>66.460471887762054</v>
      </c>
      <c r="K665" s="3">
        <f t="shared" ca="1" si="86"/>
        <v>7.0974080751540214E-3</v>
      </c>
      <c r="L665" s="3"/>
    </row>
    <row r="666" spans="1:12" x14ac:dyDescent="0.3">
      <c r="A666">
        <v>664</v>
      </c>
      <c r="B666" s="2">
        <f t="shared" si="80"/>
        <v>18495.821727019498</v>
      </c>
      <c r="C666" s="2">
        <f t="shared" si="81"/>
        <v>3.4216300120956437E-3</v>
      </c>
      <c r="D666" s="2">
        <f t="shared" si="82"/>
        <v>19.108367054575467</v>
      </c>
      <c r="E666" s="3">
        <f t="shared" si="87"/>
        <v>66.395060698235838</v>
      </c>
      <c r="F666" cm="1">
        <f t="array" aca="1" ref="F666" ca="1">INDEX($O$2:$O$34,INT(A666/$Z$1)+1)</f>
        <v>68.116899560530953</v>
      </c>
      <c r="G666" cm="1">
        <f t="array" aca="1" ref="G666" ca="1">INDEX($O$2:$O$34,INT(A666/$Z$1)+2)</f>
        <v>65.81230453754813</v>
      </c>
      <c r="H666">
        <f t="shared" ca="1" si="83"/>
        <v>-7.2018594468213237E-2</v>
      </c>
      <c r="I666">
        <f t="shared" ca="1" si="84"/>
        <v>-1.7284462672371177</v>
      </c>
      <c r="J666" s="3">
        <f t="shared" ca="1" si="85"/>
        <v>66.388453293293836</v>
      </c>
      <c r="K666" s="3">
        <f t="shared" ca="1" si="86"/>
        <v>6.6074049420024039E-3</v>
      </c>
      <c r="L666" s="3"/>
    </row>
    <row r="667" spans="1:12" x14ac:dyDescent="0.3">
      <c r="A667">
        <v>665</v>
      </c>
      <c r="B667" s="2">
        <f t="shared" si="80"/>
        <v>18575.418994413409</v>
      </c>
      <c r="C667" s="2">
        <f t="shared" si="81"/>
        <v>3.4221021609233734E-3</v>
      </c>
      <c r="D667" s="2">
        <f t="shared" si="82"/>
        <v>19.068044048741569</v>
      </c>
      <c r="E667" s="3">
        <f t="shared" si="87"/>
        <v>66.322479287734822</v>
      </c>
      <c r="F667" cm="1">
        <f t="array" aca="1" ref="F667" ca="1">INDEX($O$2:$O$34,INT(A667/$Z$1)+1)</f>
        <v>68.116899560530953</v>
      </c>
      <c r="G667" cm="1">
        <f t="array" aca="1" ref="G667" ca="1">INDEX($O$2:$O$34,INT(A667/$Z$1)+2)</f>
        <v>65.81230453754813</v>
      </c>
      <c r="H667">
        <f t="shared" ca="1" si="83"/>
        <v>-7.2018594468213237E-2</v>
      </c>
      <c r="I667">
        <f t="shared" ca="1" si="84"/>
        <v>-1.8004648617053309</v>
      </c>
      <c r="J667" s="3">
        <f t="shared" ca="1" si="85"/>
        <v>66.316434698825617</v>
      </c>
      <c r="K667" s="3">
        <f t="shared" ca="1" si="86"/>
        <v>6.0445889092051175E-3</v>
      </c>
      <c r="L667" s="3"/>
    </row>
    <row r="668" spans="1:12" x14ac:dyDescent="0.3">
      <c r="A668">
        <v>666</v>
      </c>
      <c r="B668" s="2">
        <f t="shared" si="80"/>
        <v>18655.462184873948</v>
      </c>
      <c r="C668" s="2">
        <f t="shared" si="81"/>
        <v>3.4225749189990386E-3</v>
      </c>
      <c r="D668" s="2">
        <f t="shared" si="82"/>
        <v>19.027680157972611</v>
      </c>
      <c r="E668" s="3">
        <f t="shared" si="87"/>
        <v>66.249824284350694</v>
      </c>
      <c r="F668" cm="1">
        <f t="array" aca="1" ref="F668" ca="1">INDEX($O$2:$O$34,INT(A668/$Z$1)+1)</f>
        <v>68.116899560530953</v>
      </c>
      <c r="G668" cm="1">
        <f t="array" aca="1" ref="G668" ca="1">INDEX($O$2:$O$34,INT(A668/$Z$1)+2)</f>
        <v>65.81230453754813</v>
      </c>
      <c r="H668">
        <f t="shared" ca="1" si="83"/>
        <v>-7.2018594468213237E-2</v>
      </c>
      <c r="I668">
        <f t="shared" ca="1" si="84"/>
        <v>-1.8724834561735442</v>
      </c>
      <c r="J668" s="3">
        <f t="shared" ca="1" si="85"/>
        <v>66.244416104357413</v>
      </c>
      <c r="K668" s="3">
        <f t="shared" ca="1" si="86"/>
        <v>5.4081799932816921E-3</v>
      </c>
      <c r="L668" s="3"/>
    </row>
    <row r="669" spans="1:12" x14ac:dyDescent="0.3">
      <c r="A669">
        <v>667</v>
      </c>
      <c r="B669" s="2">
        <f t="shared" si="80"/>
        <v>18735.955056179777</v>
      </c>
      <c r="C669" s="2">
        <f t="shared" si="81"/>
        <v>3.4230482918814606E-3</v>
      </c>
      <c r="D669" s="2">
        <f t="shared" si="82"/>
        <v>18.987274946347668</v>
      </c>
      <c r="E669" s="3">
        <f t="shared" si="87"/>
        <v>66.177094903425797</v>
      </c>
      <c r="F669" cm="1">
        <f t="array" aca="1" ref="F669" ca="1">INDEX($O$2:$O$34,INT(A669/$Z$1)+1)</f>
        <v>68.116899560530953</v>
      </c>
      <c r="G669" cm="1">
        <f t="array" aca="1" ref="G669" ca="1">INDEX($O$2:$O$34,INT(A669/$Z$1)+2)</f>
        <v>65.81230453754813</v>
      </c>
      <c r="H669">
        <f t="shared" ca="1" si="83"/>
        <v>-7.2018594468213237E-2</v>
      </c>
      <c r="I669">
        <f t="shared" ca="1" si="84"/>
        <v>-1.9445020506417574</v>
      </c>
      <c r="J669" s="3">
        <f t="shared" ca="1" si="85"/>
        <v>66.172397509889194</v>
      </c>
      <c r="K669" s="3">
        <f t="shared" ca="1" si="86"/>
        <v>4.6973935366025898E-3</v>
      </c>
      <c r="L669" s="3"/>
    </row>
    <row r="670" spans="1:12" x14ac:dyDescent="0.3">
      <c r="A670">
        <v>668</v>
      </c>
      <c r="B670" s="2">
        <f t="shared" si="80"/>
        <v>18816.901408450703</v>
      </c>
      <c r="C670" s="2">
        <f t="shared" si="81"/>
        <v>3.4235222851667206E-3</v>
      </c>
      <c r="D670" s="2">
        <f t="shared" si="82"/>
        <v>18.946827975314761</v>
      </c>
      <c r="E670" s="3">
        <f t="shared" si="87"/>
        <v>66.104290355566576</v>
      </c>
      <c r="F670" cm="1">
        <f t="array" aca="1" ref="F670" ca="1">INDEX($O$2:$O$34,INT(A670/$Z$1)+1)</f>
        <v>68.116899560530953</v>
      </c>
      <c r="G670" cm="1">
        <f t="array" aca="1" ref="G670" ca="1">INDEX($O$2:$O$34,INT(A670/$Z$1)+2)</f>
        <v>65.81230453754813</v>
      </c>
      <c r="H670">
        <f t="shared" ca="1" si="83"/>
        <v>-7.2018594468213237E-2</v>
      </c>
      <c r="I670">
        <f t="shared" ca="1" si="84"/>
        <v>-2.0165206451099706</v>
      </c>
      <c r="J670" s="3">
        <f t="shared" ca="1" si="85"/>
        <v>66.100378915420976</v>
      </c>
      <c r="K670" s="3">
        <f t="shared" ca="1" si="86"/>
        <v>3.9114401456004089E-3</v>
      </c>
      <c r="L670" s="3"/>
    </row>
    <row r="671" spans="1:12" x14ac:dyDescent="0.3">
      <c r="A671">
        <v>669</v>
      </c>
      <c r="B671" s="2">
        <f t="shared" si="80"/>
        <v>18898.305084745763</v>
      </c>
      <c r="C671" s="2">
        <f t="shared" si="81"/>
        <v>3.4239969044886406E-3</v>
      </c>
      <c r="D671" s="2">
        <f t="shared" si="82"/>
        <v>18.906338803654933</v>
      </c>
      <c r="E671" s="3">
        <f t="shared" si="87"/>
        <v>66.031409846578882</v>
      </c>
      <c r="F671" cm="1">
        <f t="array" aca="1" ref="F671" ca="1">INDEX($O$2:$O$34,INT(A671/$Z$1)+1)</f>
        <v>68.116899560530953</v>
      </c>
      <c r="G671" cm="1">
        <f t="array" aca="1" ref="G671" ca="1">INDEX($O$2:$O$34,INT(A671/$Z$1)+2)</f>
        <v>65.81230453754813</v>
      </c>
      <c r="H671">
        <f t="shared" ca="1" si="83"/>
        <v>-7.2018594468213237E-2</v>
      </c>
      <c r="I671">
        <f t="shared" ca="1" si="84"/>
        <v>-2.0885392395781839</v>
      </c>
      <c r="J671" s="3">
        <f t="shared" ca="1" si="85"/>
        <v>66.028360320952771</v>
      </c>
      <c r="K671" s="3">
        <f t="shared" ca="1" si="86"/>
        <v>3.0495256261104942E-3</v>
      </c>
      <c r="L671" s="3"/>
    </row>
    <row r="672" spans="1:12" x14ac:dyDescent="0.3">
      <c r="A672">
        <v>670</v>
      </c>
      <c r="B672" s="2">
        <f t="shared" si="80"/>
        <v>18980.169971671388</v>
      </c>
      <c r="C672" s="2">
        <f t="shared" si="81"/>
        <v>3.4244721555192655E-3</v>
      </c>
      <c r="D672" s="2">
        <f t="shared" si="82"/>
        <v>18.865806987446888</v>
      </c>
      <c r="E672" s="3">
        <f t="shared" si="87"/>
        <v>65.958452577404401</v>
      </c>
      <c r="F672" cm="1">
        <f t="array" aca="1" ref="F672" ca="1">INDEX($O$2:$O$34,INT(A672/$Z$1)+1)</f>
        <v>68.116899560530953</v>
      </c>
      <c r="G672" cm="1">
        <f t="array" aca="1" ref="G672" ca="1">INDEX($O$2:$O$34,INT(A672/$Z$1)+2)</f>
        <v>65.81230453754813</v>
      </c>
      <c r="H672">
        <f t="shared" ca="1" si="83"/>
        <v>-7.2018594468213237E-2</v>
      </c>
      <c r="I672">
        <f t="shared" ca="1" si="84"/>
        <v>-2.1605578340463971</v>
      </c>
      <c r="J672" s="3">
        <f t="shared" ca="1" si="85"/>
        <v>65.956341726484553</v>
      </c>
      <c r="K672" s="3">
        <f t="shared" ca="1" si="86"/>
        <v>2.1108509198484171E-3</v>
      </c>
      <c r="L672" s="3"/>
    </row>
    <row r="673" spans="1:12" x14ac:dyDescent="0.3">
      <c r="A673">
        <v>671</v>
      </c>
      <c r="B673" s="2">
        <f t="shared" si="80"/>
        <v>19062.5</v>
      </c>
      <c r="C673" s="2">
        <f t="shared" si="81"/>
        <v>3.4249480439693561E-3</v>
      </c>
      <c r="D673" s="2">
        <f t="shared" si="82"/>
        <v>18.82523208003073</v>
      </c>
      <c r="E673" s="3">
        <f t="shared" si="87"/>
        <v>65.885417744055317</v>
      </c>
      <c r="F673" cm="1">
        <f t="array" aca="1" ref="F673" ca="1">INDEX($O$2:$O$34,INT(A673/$Z$1)+1)</f>
        <v>68.116899560530953</v>
      </c>
      <c r="G673" cm="1">
        <f t="array" aca="1" ref="G673" ca="1">INDEX($O$2:$O$34,INT(A673/$Z$1)+2)</f>
        <v>65.81230453754813</v>
      </c>
      <c r="H673">
        <f t="shared" ca="1" si="83"/>
        <v>-7.2018594468213237E-2</v>
      </c>
      <c r="I673">
        <f t="shared" ca="1" si="84"/>
        <v>-2.2325764285146104</v>
      </c>
      <c r="J673" s="3">
        <f t="shared" ca="1" si="85"/>
        <v>65.884323132016348</v>
      </c>
      <c r="K673" s="3">
        <f t="shared" ca="1" si="86"/>
        <v>1.0946120389689895E-3</v>
      </c>
      <c r="L673" s="3"/>
    </row>
    <row r="674" spans="1:12" x14ac:dyDescent="0.3">
      <c r="A674">
        <v>672</v>
      </c>
      <c r="B674" s="2">
        <f t="shared" si="80"/>
        <v>19145.299145299145</v>
      </c>
      <c r="C674" s="2">
        <f t="shared" si="81"/>
        <v>3.425424575588885E-3</v>
      </c>
      <c r="D674" s="2">
        <f t="shared" si="82"/>
        <v>18.784613631971183</v>
      </c>
      <c r="E674" s="3">
        <f t="shared" si="87"/>
        <v>65.81230453754813</v>
      </c>
      <c r="F674" cm="1">
        <f t="array" aca="1" ref="F674" ca="1">INDEX($O$2:$O$34,INT(A674/$Z$1)+1)</f>
        <v>65.81230453754813</v>
      </c>
      <c r="G674" cm="1">
        <f t="array" aca="1" ref="G674" ca="1">INDEX($O$2:$O$34,INT(A674/$Z$1)+2)</f>
        <v>63.426171335778726</v>
      </c>
      <c r="H674">
        <f t="shared" ca="1" si="83"/>
        <v>-7.4566662555293872E-2</v>
      </c>
      <c r="I674">
        <f t="shared" ca="1" si="84"/>
        <v>0</v>
      </c>
      <c r="J674" s="3">
        <f t="shared" ca="1" si="85"/>
        <v>65.81230453754813</v>
      </c>
      <c r="K674" s="3">
        <f t="shared" ca="1" si="86"/>
        <v>0</v>
      </c>
      <c r="L674" s="3"/>
    </row>
    <row r="675" spans="1:12" x14ac:dyDescent="0.3">
      <c r="A675">
        <v>673</v>
      </c>
      <c r="B675" s="2">
        <f t="shared" si="80"/>
        <v>19228.571428571428</v>
      </c>
      <c r="C675" s="2">
        <f t="shared" si="81"/>
        <v>3.4259017561675434E-3</v>
      </c>
      <c r="D675" s="2">
        <f t="shared" si="82"/>
        <v>18.743951191020415</v>
      </c>
      <c r="E675" s="3">
        <f t="shared" si="87"/>
        <v>65.739112143836749</v>
      </c>
      <c r="F675" cm="1">
        <f t="array" aca="1" ref="F675" ca="1">INDEX($O$2:$O$34,INT(A675/$Z$1)+1)</f>
        <v>65.81230453754813</v>
      </c>
      <c r="G675" cm="1">
        <f t="array" aca="1" ref="G675" ca="1">INDEX($O$2:$O$34,INT(A675/$Z$1)+2)</f>
        <v>63.426171335778726</v>
      </c>
      <c r="H675">
        <f t="shared" ca="1" si="83"/>
        <v>-7.4566662555293872E-2</v>
      </c>
      <c r="I675">
        <f t="shared" ca="1" si="84"/>
        <v>-7.4566662555293872E-2</v>
      </c>
      <c r="J675" s="3">
        <f t="shared" ca="1" si="85"/>
        <v>65.737737874992831</v>
      </c>
      <c r="K675" s="3">
        <f t="shared" ca="1" si="86"/>
        <v>1.3742688439180029E-3</v>
      </c>
      <c r="L675" s="3"/>
    </row>
    <row r="676" spans="1:12" x14ac:dyDescent="0.3">
      <c r="A676">
        <v>674</v>
      </c>
      <c r="B676" s="2">
        <f t="shared" si="80"/>
        <v>19312.320916905443</v>
      </c>
      <c r="C676" s="2">
        <f t="shared" si="81"/>
        <v>3.4263795915352494E-3</v>
      </c>
      <c r="D676" s="2">
        <f t="shared" si="82"/>
        <v>18.70324430208052</v>
      </c>
      <c r="E676" s="3">
        <f t="shared" si="87"/>
        <v>65.665839743744939</v>
      </c>
      <c r="F676" cm="1">
        <f t="array" aca="1" ref="F676" ca="1">INDEX($O$2:$O$34,INT(A676/$Z$1)+1)</f>
        <v>65.81230453754813</v>
      </c>
      <c r="G676" cm="1">
        <f t="array" aca="1" ref="G676" ca="1">INDEX($O$2:$O$34,INT(A676/$Z$1)+2)</f>
        <v>63.426171335778726</v>
      </c>
      <c r="H676">
        <f t="shared" ca="1" si="83"/>
        <v>-7.4566662555293872E-2</v>
      </c>
      <c r="I676">
        <f t="shared" ca="1" si="84"/>
        <v>-0.14913332511058774</v>
      </c>
      <c r="J676" s="3">
        <f t="shared" ca="1" si="85"/>
        <v>65.663171212437547</v>
      </c>
      <c r="K676" s="3">
        <f t="shared" ca="1" si="86"/>
        <v>2.6685313073926409E-3</v>
      </c>
      <c r="L676" s="3"/>
    </row>
    <row r="677" spans="1:12" x14ac:dyDescent="0.3">
      <c r="A677">
        <v>675</v>
      </c>
      <c r="B677" s="2">
        <f t="shared" si="80"/>
        <v>19396.551724137931</v>
      </c>
      <c r="C677" s="2">
        <f t="shared" si="81"/>
        <v>3.4268580875626681E-3</v>
      </c>
      <c r="D677" s="2">
        <f t="shared" si="82"/>
        <v>18.662492507165325</v>
      </c>
      <c r="E677" s="3">
        <f t="shared" si="87"/>
        <v>65.59248651289758</v>
      </c>
      <c r="F677" cm="1">
        <f t="array" aca="1" ref="F677" ca="1">INDEX($O$2:$O$34,INT(A677/$Z$1)+1)</f>
        <v>65.81230453754813</v>
      </c>
      <c r="G677" cm="1">
        <f t="array" aca="1" ref="G677" ca="1">INDEX($O$2:$O$34,INT(A677/$Z$1)+2)</f>
        <v>63.426171335778726</v>
      </c>
      <c r="H677">
        <f t="shared" ca="1" si="83"/>
        <v>-7.4566662555293872E-2</v>
      </c>
      <c r="I677">
        <f t="shared" ca="1" si="84"/>
        <v>-0.22369998766588162</v>
      </c>
      <c r="J677" s="3">
        <f t="shared" ca="1" si="85"/>
        <v>65.588604549882248</v>
      </c>
      <c r="K677" s="3">
        <f t="shared" ca="1" si="86"/>
        <v>3.8819630153312801E-3</v>
      </c>
      <c r="L677" s="3"/>
    </row>
    <row r="678" spans="1:12" x14ac:dyDescent="0.3">
      <c r="A678">
        <v>676</v>
      </c>
      <c r="B678" s="2">
        <f t="shared" si="80"/>
        <v>19481.268011527376</v>
      </c>
      <c r="C678" s="2">
        <f t="shared" si="81"/>
        <v>3.4273372501617359E-3</v>
      </c>
      <c r="D678" s="2">
        <f t="shared" si="82"/>
        <v>18.621695345361786</v>
      </c>
      <c r="E678" s="3">
        <f t="shared" si="87"/>
        <v>65.519051621651215</v>
      </c>
      <c r="F678" cm="1">
        <f t="array" aca="1" ref="F678" ca="1">INDEX($O$2:$O$34,INT(A678/$Z$1)+1)</f>
        <v>65.81230453754813</v>
      </c>
      <c r="G678" cm="1">
        <f t="array" aca="1" ref="G678" ca="1">INDEX($O$2:$O$34,INT(A678/$Z$1)+2)</f>
        <v>63.426171335778726</v>
      </c>
      <c r="H678">
        <f t="shared" ca="1" si="83"/>
        <v>-7.4566662555293872E-2</v>
      </c>
      <c r="I678">
        <f t="shared" ca="1" si="84"/>
        <v>-0.29826665022117549</v>
      </c>
      <c r="J678" s="3">
        <f t="shared" ca="1" si="85"/>
        <v>65.51403788732695</v>
      </c>
      <c r="K678" s="3">
        <f t="shared" ca="1" si="86"/>
        <v>5.0137343242653287E-3</v>
      </c>
      <c r="L678" s="3"/>
    </row>
    <row r="679" spans="1:12" x14ac:dyDescent="0.3">
      <c r="A679">
        <v>677</v>
      </c>
      <c r="B679" s="2">
        <f t="shared" si="80"/>
        <v>19566.473988439306</v>
      </c>
      <c r="C679" s="2">
        <f t="shared" si="81"/>
        <v>3.4278170852861931E-3</v>
      </c>
      <c r="D679" s="2">
        <f t="shared" si="82"/>
        <v>18.580852352790771</v>
      </c>
      <c r="E679" s="3">
        <f t="shared" si="87"/>
        <v>65.445534235023388</v>
      </c>
      <c r="F679" cm="1">
        <f t="array" aca="1" ref="F679" ca="1">INDEX($O$2:$O$34,INT(A679/$Z$1)+1)</f>
        <v>65.81230453754813</v>
      </c>
      <c r="G679" cm="1">
        <f t="array" aca="1" ref="G679" ca="1">INDEX($O$2:$O$34,INT(A679/$Z$1)+2)</f>
        <v>63.426171335778726</v>
      </c>
      <c r="H679">
        <f t="shared" ca="1" si="83"/>
        <v>-7.4566662555293872E-2</v>
      </c>
      <c r="I679">
        <f t="shared" ca="1" si="84"/>
        <v>-0.37283331277646936</v>
      </c>
      <c r="J679" s="3">
        <f t="shared" ca="1" si="85"/>
        <v>65.439471224771665</v>
      </c>
      <c r="K679" s="3">
        <f t="shared" ca="1" si="86"/>
        <v>6.0630102517222895E-3</v>
      </c>
      <c r="L679" s="3"/>
    </row>
    <row r="680" spans="1:12" x14ac:dyDescent="0.3">
      <c r="A680">
        <v>678</v>
      </c>
      <c r="B680" s="2">
        <f t="shared" si="80"/>
        <v>19652.17391304348</v>
      </c>
      <c r="C680" s="2">
        <f t="shared" si="81"/>
        <v>3.4282975989321225E-3</v>
      </c>
      <c r="D680" s="2">
        <f t="shared" si="82"/>
        <v>18.539963062567608</v>
      </c>
      <c r="E680" s="3">
        <f t="shared" si="87"/>
        <v>65.371933512621695</v>
      </c>
      <c r="F680" cm="1">
        <f t="array" aca="1" ref="F680" ca="1">INDEX($O$2:$O$34,INT(A680/$Z$1)+1)</f>
        <v>65.81230453754813</v>
      </c>
      <c r="G680" cm="1">
        <f t="array" aca="1" ref="G680" ca="1">INDEX($O$2:$O$34,INT(A680/$Z$1)+2)</f>
        <v>63.426171335778726</v>
      </c>
      <c r="H680">
        <f t="shared" ca="1" si="83"/>
        <v>-7.4566662555293872E-2</v>
      </c>
      <c r="I680">
        <f t="shared" ca="1" si="84"/>
        <v>-0.44739997533176323</v>
      </c>
      <c r="J680" s="3">
        <f t="shared" ca="1" si="85"/>
        <v>65.364904562216367</v>
      </c>
      <c r="K680" s="3">
        <f t="shared" ca="1" si="86"/>
        <v>7.0289504053278051E-3</v>
      </c>
      <c r="L680" s="3"/>
    </row>
    <row r="681" spans="1:12" x14ac:dyDescent="0.3">
      <c r="A681">
        <v>679</v>
      </c>
      <c r="B681" s="2">
        <f t="shared" si="80"/>
        <v>19738.372093023256</v>
      </c>
      <c r="C681" s="2">
        <f t="shared" si="81"/>
        <v>3.428778797138498E-3</v>
      </c>
      <c r="D681" s="2">
        <f t="shared" si="82"/>
        <v>18.499027004761672</v>
      </c>
      <c r="E681" s="3">
        <f t="shared" si="87"/>
        <v>65.298248608571015</v>
      </c>
      <c r="F681" cm="1">
        <f t="array" aca="1" ref="F681" ca="1">INDEX($O$2:$O$34,INT(A681/$Z$1)+1)</f>
        <v>65.81230453754813</v>
      </c>
      <c r="G681" cm="1">
        <f t="array" aca="1" ref="G681" ca="1">INDEX($O$2:$O$34,INT(A681/$Z$1)+2)</f>
        <v>63.426171335778726</v>
      </c>
      <c r="H681">
        <f t="shared" ca="1" si="83"/>
        <v>-7.4566662555293872E-2</v>
      </c>
      <c r="I681">
        <f t="shared" ca="1" si="84"/>
        <v>-0.52196663788705711</v>
      </c>
      <c r="J681" s="3">
        <f t="shared" ca="1" si="85"/>
        <v>65.290337899661068</v>
      </c>
      <c r="K681" s="3">
        <f t="shared" ca="1" si="86"/>
        <v>7.9107089099466066E-3</v>
      </c>
      <c r="L681" s="3"/>
    </row>
    <row r="682" spans="1:12" x14ac:dyDescent="0.3">
      <c r="A682">
        <v>680</v>
      </c>
      <c r="B682" s="2">
        <f t="shared" si="80"/>
        <v>19825.072886297377</v>
      </c>
      <c r="C682" s="2">
        <f t="shared" si="81"/>
        <v>3.429260685987737E-3</v>
      </c>
      <c r="D682" s="2">
        <f t="shared" si="82"/>
        <v>18.458043706355909</v>
      </c>
      <c r="E682" s="3">
        <f t="shared" si="87"/>
        <v>65.224478671440636</v>
      </c>
      <c r="F682" cm="1">
        <f t="array" aca="1" ref="F682" ca="1">INDEX($O$2:$O$34,INT(A682/$Z$1)+1)</f>
        <v>65.81230453754813</v>
      </c>
      <c r="G682" cm="1">
        <f t="array" aca="1" ref="G682" ca="1">INDEX($O$2:$O$34,INT(A682/$Z$1)+2)</f>
        <v>63.426171335778726</v>
      </c>
      <c r="H682">
        <f t="shared" ca="1" si="83"/>
        <v>-7.4566662555293872E-2</v>
      </c>
      <c r="I682">
        <f t="shared" ca="1" si="84"/>
        <v>-0.59653330044235098</v>
      </c>
      <c r="J682" s="3">
        <f t="shared" ca="1" si="85"/>
        <v>65.215771237105784</v>
      </c>
      <c r="K682" s="3">
        <f t="shared" ca="1" si="86"/>
        <v>8.7074343348518823E-3</v>
      </c>
      <c r="L682" s="3"/>
    </row>
    <row r="683" spans="1:12" x14ac:dyDescent="0.3">
      <c r="A683">
        <v>681</v>
      </c>
      <c r="B683" s="2">
        <f t="shared" si="80"/>
        <v>19912.280701754386</v>
      </c>
      <c r="C683" s="2">
        <f t="shared" si="81"/>
        <v>3.4297432716062647E-3</v>
      </c>
      <c r="D683" s="2">
        <f t="shared" si="82"/>
        <v>18.4170126912054</v>
      </c>
      <c r="E683" s="3">
        <f t="shared" si="87"/>
        <v>65.150622844169717</v>
      </c>
      <c r="F683" cm="1">
        <f t="array" aca="1" ref="F683" ca="1">INDEX($O$2:$O$34,INT(A683/$Z$1)+1)</f>
        <v>65.81230453754813</v>
      </c>
      <c r="G683" cm="1">
        <f t="array" aca="1" ref="G683" ca="1">INDEX($O$2:$O$34,INT(A683/$Z$1)+2)</f>
        <v>63.426171335778726</v>
      </c>
      <c r="H683">
        <f t="shared" ca="1" si="83"/>
        <v>-7.4566662555293872E-2</v>
      </c>
      <c r="I683">
        <f t="shared" ca="1" si="84"/>
        <v>-0.67109996299764485</v>
      </c>
      <c r="J683" s="3">
        <f t="shared" ca="1" si="85"/>
        <v>65.141204574550486</v>
      </c>
      <c r="K683" s="3">
        <f t="shared" ca="1" si="86"/>
        <v>9.4182696192319781E-3</v>
      </c>
      <c r="L683" s="3"/>
    </row>
    <row r="684" spans="1:12" x14ac:dyDescent="0.3">
      <c r="A684">
        <v>682</v>
      </c>
      <c r="B684" s="2">
        <f t="shared" si="80"/>
        <v>20000</v>
      </c>
      <c r="C684" s="2">
        <f t="shared" si="81"/>
        <v>3.4302265601650825E-3</v>
      </c>
      <c r="D684" s="2">
        <f t="shared" si="82"/>
        <v>18.375933479995638</v>
      </c>
      <c r="E684" s="3">
        <f t="shared" si="87"/>
        <v>65.076680263992145</v>
      </c>
      <c r="F684" cm="1">
        <f t="array" aca="1" ref="F684" ca="1">INDEX($O$2:$O$34,INT(A684/$Z$1)+1)</f>
        <v>65.81230453754813</v>
      </c>
      <c r="G684" cm="1">
        <f t="array" aca="1" ref="G684" ca="1">INDEX($O$2:$O$34,INT(A684/$Z$1)+2)</f>
        <v>63.426171335778726</v>
      </c>
      <c r="H684">
        <f t="shared" ca="1" si="83"/>
        <v>-7.4566662555293872E-2</v>
      </c>
      <c r="I684">
        <f t="shared" ca="1" si="84"/>
        <v>-0.74566662555293872</v>
      </c>
      <c r="J684" s="3">
        <f t="shared" ca="1" si="85"/>
        <v>65.066637911995187</v>
      </c>
      <c r="K684" s="3">
        <f t="shared" ca="1" si="86"/>
        <v>1.0042351996958132E-2</v>
      </c>
      <c r="L684" s="3"/>
    </row>
    <row r="685" spans="1:12" x14ac:dyDescent="0.3">
      <c r="A685">
        <v>683</v>
      </c>
      <c r="B685" s="2">
        <f t="shared" si="80"/>
        <v>20088.235294117647</v>
      </c>
      <c r="C685" s="2">
        <f t="shared" si="81"/>
        <v>3.4307105578803474E-3</v>
      </c>
      <c r="D685" s="2">
        <f t="shared" si="82"/>
        <v>18.334805590200119</v>
      </c>
      <c r="E685" s="3">
        <f t="shared" si="87"/>
        <v>65.002650062360217</v>
      </c>
      <c r="F685" cm="1">
        <f t="array" aca="1" ref="F685" ca="1">INDEX($O$2:$O$34,INT(A685/$Z$1)+1)</f>
        <v>65.81230453754813</v>
      </c>
      <c r="G685" cm="1">
        <f t="array" aca="1" ref="G685" ca="1">INDEX($O$2:$O$34,INT(A685/$Z$1)+2)</f>
        <v>63.426171335778726</v>
      </c>
      <c r="H685">
        <f t="shared" ca="1" si="83"/>
        <v>-7.4566662555293872E-2</v>
      </c>
      <c r="I685">
        <f t="shared" ca="1" si="84"/>
        <v>-0.82023328810823259</v>
      </c>
      <c r="J685" s="3">
        <f t="shared" ca="1" si="85"/>
        <v>64.992071249439903</v>
      </c>
      <c r="K685" s="3">
        <f t="shared" ca="1" si="86"/>
        <v>1.0578812920314817E-2</v>
      </c>
      <c r="L685" s="3"/>
    </row>
    <row r="686" spans="1:12" x14ac:dyDescent="0.3">
      <c r="A686">
        <v>684</v>
      </c>
      <c r="B686" s="2">
        <f t="shared" si="80"/>
        <v>20176.991150442478</v>
      </c>
      <c r="C686" s="2">
        <f t="shared" si="81"/>
        <v>3.4311952710139567E-3</v>
      </c>
      <c r="D686" s="2">
        <f t="shared" si="82"/>
        <v>18.293628536037488</v>
      </c>
      <c r="E686" s="3">
        <f t="shared" si="87"/>
        <v>64.928531364867482</v>
      </c>
      <c r="F686" cm="1">
        <f t="array" aca="1" ref="F686" ca="1">INDEX($O$2:$O$34,INT(A686/$Z$1)+1)</f>
        <v>65.81230453754813</v>
      </c>
      <c r="G686" cm="1">
        <f t="array" aca="1" ref="G686" ca="1">INDEX($O$2:$O$34,INT(A686/$Z$1)+2)</f>
        <v>63.426171335778726</v>
      </c>
      <c r="H686">
        <f t="shared" ca="1" si="83"/>
        <v>-7.4566662555293872E-2</v>
      </c>
      <c r="I686">
        <f t="shared" ca="1" si="84"/>
        <v>-0.89479995066352647</v>
      </c>
      <c r="J686" s="3">
        <f t="shared" ca="1" si="85"/>
        <v>64.917504586884604</v>
      </c>
      <c r="K686" s="3">
        <f t="shared" ca="1" si="86"/>
        <v>1.1026777982877434E-2</v>
      </c>
      <c r="L686" s="3"/>
    </row>
    <row r="687" spans="1:12" x14ac:dyDescent="0.3">
      <c r="A687">
        <v>685</v>
      </c>
      <c r="B687" s="2">
        <f t="shared" si="80"/>
        <v>20266.272189349111</v>
      </c>
      <c r="C687" s="2">
        <f t="shared" si="81"/>
        <v>3.4316807058741433E-3</v>
      </c>
      <c r="D687" s="2">
        <f t="shared" si="82"/>
        <v>18.252401828427878</v>
      </c>
      <c r="E687" s="3">
        <f t="shared" si="87"/>
        <v>64.854323291170175</v>
      </c>
      <c r="F687" cm="1">
        <f t="array" aca="1" ref="F687" ca="1">INDEX($O$2:$O$34,INT(A687/$Z$1)+1)</f>
        <v>65.81230453754813</v>
      </c>
      <c r="G687" cm="1">
        <f t="array" aca="1" ref="G687" ca="1">INDEX($O$2:$O$34,INT(A687/$Z$1)+2)</f>
        <v>63.426171335778726</v>
      </c>
      <c r="H687">
        <f t="shared" ca="1" si="83"/>
        <v>-7.4566662555293872E-2</v>
      </c>
      <c r="I687">
        <f t="shared" ca="1" si="84"/>
        <v>-0.96936661321882034</v>
      </c>
      <c r="J687" s="3">
        <f t="shared" ca="1" si="85"/>
        <v>64.842937924329306</v>
      </c>
      <c r="K687" s="3">
        <f t="shared" ca="1" si="86"/>
        <v>1.1385366840869438E-2</v>
      </c>
      <c r="L687" s="3"/>
    </row>
    <row r="688" spans="1:12" x14ac:dyDescent="0.3">
      <c r="A688">
        <v>686</v>
      </c>
      <c r="B688" s="2">
        <f t="shared" si="80"/>
        <v>20356.083086053412</v>
      </c>
      <c r="C688" s="2">
        <f t="shared" si="81"/>
        <v>3.4321668688160781E-3</v>
      </c>
      <c r="D688" s="2">
        <f t="shared" si="82"/>
        <v>18.211124974948802</v>
      </c>
      <c r="E688" s="3">
        <f t="shared" si="87"/>
        <v>64.780024954907844</v>
      </c>
      <c r="F688" cm="1">
        <f t="array" aca="1" ref="F688" ca="1">INDEX($O$2:$O$34,INT(A688/$Z$1)+1)</f>
        <v>65.81230453754813</v>
      </c>
      <c r="G688" cm="1">
        <f t="array" aca="1" ref="G688" ca="1">INDEX($O$2:$O$34,INT(A688/$Z$1)+2)</f>
        <v>63.426171335778726</v>
      </c>
      <c r="H688">
        <f t="shared" ca="1" si="83"/>
        <v>-7.4566662555293872E-2</v>
      </c>
      <c r="I688">
        <f t="shared" ca="1" si="84"/>
        <v>-1.0439332757741142</v>
      </c>
      <c r="J688" s="3">
        <f t="shared" ca="1" si="85"/>
        <v>64.768371261774021</v>
      </c>
      <c r="K688" s="3">
        <f t="shared" ca="1" si="86"/>
        <v>1.165369313382314E-2</v>
      </c>
      <c r="L688" s="3"/>
    </row>
    <row r="689" spans="1:12" x14ac:dyDescent="0.3">
      <c r="A689">
        <v>687</v>
      </c>
      <c r="B689" s="2">
        <f t="shared" si="80"/>
        <v>20446.428571428572</v>
      </c>
      <c r="C689" s="2">
        <f t="shared" si="81"/>
        <v>3.4326537662424813E-3</v>
      </c>
      <c r="D689" s="2">
        <f t="shared" si="82"/>
        <v>18.169797479790589</v>
      </c>
      <c r="E689" s="3">
        <f t="shared" si="87"/>
        <v>64.705635463623054</v>
      </c>
      <c r="F689" cm="1">
        <f t="array" aca="1" ref="F689" ca="1">INDEX($O$2:$O$34,INT(A689/$Z$1)+1)</f>
        <v>65.81230453754813</v>
      </c>
      <c r="G689" cm="1">
        <f t="array" aca="1" ref="G689" ca="1">INDEX($O$2:$O$34,INT(A689/$Z$1)+2)</f>
        <v>63.426171335778726</v>
      </c>
      <c r="H689">
        <f t="shared" ca="1" si="83"/>
        <v>-7.4566662555293872E-2</v>
      </c>
      <c r="I689">
        <f t="shared" ca="1" si="84"/>
        <v>-1.1184999383294081</v>
      </c>
      <c r="J689" s="3">
        <f t="shared" ca="1" si="85"/>
        <v>64.693804599218723</v>
      </c>
      <c r="K689" s="3">
        <f t="shared" ca="1" si="86"/>
        <v>1.183086440433101E-2</v>
      </c>
      <c r="L689" s="3"/>
    </row>
    <row r="690" spans="1:12" x14ac:dyDescent="0.3">
      <c r="A690">
        <v>688</v>
      </c>
      <c r="B690" s="2">
        <f t="shared" si="80"/>
        <v>20537.313432835821</v>
      </c>
      <c r="C690" s="2">
        <f t="shared" si="81"/>
        <v>3.4331414046042431E-3</v>
      </c>
      <c r="D690" s="2">
        <f t="shared" si="82"/>
        <v>18.128418843710733</v>
      </c>
      <c r="E690" s="3">
        <f t="shared" si="87"/>
        <v>64.631153918679317</v>
      </c>
      <c r="F690" cm="1">
        <f t="array" aca="1" ref="F690" ca="1">INDEX($O$2:$O$34,INT(A690/$Z$1)+1)</f>
        <v>65.81230453754813</v>
      </c>
      <c r="G690" cm="1">
        <f t="array" aca="1" ref="G690" ca="1">INDEX($O$2:$O$34,INT(A690/$Z$1)+2)</f>
        <v>63.426171335778726</v>
      </c>
      <c r="H690">
        <f t="shared" ca="1" si="83"/>
        <v>-7.4566662555293872E-2</v>
      </c>
      <c r="I690">
        <f t="shared" ca="1" si="84"/>
        <v>-1.193066600884702</v>
      </c>
      <c r="J690" s="3">
        <f t="shared" ca="1" si="85"/>
        <v>64.619237936663424</v>
      </c>
      <c r="K690" s="3">
        <f t="shared" ca="1" si="86"/>
        <v>1.1915982015892723E-2</v>
      </c>
      <c r="L690" s="3"/>
    </row>
    <row r="691" spans="1:12" x14ac:dyDescent="0.3">
      <c r="A691">
        <v>689</v>
      </c>
      <c r="B691" s="2">
        <f t="shared" si="80"/>
        <v>20628.742514970061</v>
      </c>
      <c r="C691" s="2">
        <f t="shared" si="81"/>
        <v>3.433629790401052E-3</v>
      </c>
      <c r="D691" s="2">
        <f t="shared" si="82"/>
        <v>18.086988563988086</v>
      </c>
      <c r="E691" s="3">
        <f t="shared" si="87"/>
        <v>64.556579415178561</v>
      </c>
      <c r="F691" cm="1">
        <f t="array" aca="1" ref="F691" ca="1">INDEX($O$2:$O$34,INT(A691/$Z$1)+1)</f>
        <v>65.81230453754813</v>
      </c>
      <c r="G691" cm="1">
        <f t="array" aca="1" ref="G691" ca="1">INDEX($O$2:$O$34,INT(A691/$Z$1)+2)</f>
        <v>63.426171335778726</v>
      </c>
      <c r="H691">
        <f t="shared" ca="1" si="83"/>
        <v>-7.4566662555293872E-2</v>
      </c>
      <c r="I691">
        <f t="shared" ca="1" si="84"/>
        <v>-1.2676332634399958</v>
      </c>
      <c r="J691" s="3">
        <f t="shared" ca="1" si="85"/>
        <v>64.54467127410814</v>
      </c>
      <c r="K691" s="3">
        <f t="shared" ca="1" si="86"/>
        <v>1.1908141070421152E-2</v>
      </c>
      <c r="L691" s="3"/>
    </row>
    <row r="692" spans="1:12" x14ac:dyDescent="0.3">
      <c r="A692">
        <v>690</v>
      </c>
      <c r="B692" s="2">
        <f t="shared" si="80"/>
        <v>20720.720720720721</v>
      </c>
      <c r="C692" s="2">
        <f t="shared" si="81"/>
        <v>3.4341189301820329E-3</v>
      </c>
      <c r="D692" s="2">
        <f t="shared" si="82"/>
        <v>18.045506134376353</v>
      </c>
      <c r="E692" s="3">
        <f t="shared" si="87"/>
        <v>64.481911041877439</v>
      </c>
      <c r="F692" cm="1">
        <f t="array" aca="1" ref="F692" ca="1">INDEX($O$2:$O$34,INT(A692/$Z$1)+1)</f>
        <v>65.81230453754813</v>
      </c>
      <c r="G692" cm="1">
        <f t="array" aca="1" ref="G692" ca="1">INDEX($O$2:$O$34,INT(A692/$Z$1)+2)</f>
        <v>63.426171335778726</v>
      </c>
      <c r="H692">
        <f t="shared" ca="1" si="83"/>
        <v>-7.4566662555293872E-2</v>
      </c>
      <c r="I692">
        <f t="shared" ca="1" si="84"/>
        <v>-1.3421999259952897</v>
      </c>
      <c r="J692" s="3">
        <f t="shared" ca="1" si="85"/>
        <v>64.470104611552841</v>
      </c>
      <c r="K692" s="3">
        <f t="shared" ca="1" si="86"/>
        <v>1.1806430324597272E-2</v>
      </c>
      <c r="L692" s="3"/>
    </row>
    <row r="693" spans="1:12" x14ac:dyDescent="0.3">
      <c r="A693">
        <v>691</v>
      </c>
      <c r="B693" s="2">
        <f t="shared" si="80"/>
        <v>20813.253012048193</v>
      </c>
      <c r="C693" s="2">
        <f t="shared" si="81"/>
        <v>3.4346088305463943E-3</v>
      </c>
      <c r="D693" s="2">
        <f t="shared" si="82"/>
        <v>18.00397104505646</v>
      </c>
      <c r="E693" s="3">
        <f t="shared" si="87"/>
        <v>64.407147881101622</v>
      </c>
      <c r="F693" cm="1">
        <f t="array" aca="1" ref="F693" ca="1">INDEX($O$2:$O$34,INT(A693/$Z$1)+1)</f>
        <v>65.81230453754813</v>
      </c>
      <c r="G693" cm="1">
        <f t="array" aca="1" ref="G693" ca="1">INDEX($O$2:$O$34,INT(A693/$Z$1)+2)</f>
        <v>63.426171335778726</v>
      </c>
      <c r="H693">
        <f t="shared" ca="1" si="83"/>
        <v>-7.4566662555293872E-2</v>
      </c>
      <c r="I693">
        <f t="shared" ca="1" si="84"/>
        <v>-1.4167665885505836</v>
      </c>
      <c r="J693" s="3">
        <f t="shared" ca="1" si="85"/>
        <v>64.395537948997543</v>
      </c>
      <c r="K693" s="3">
        <f t="shared" ca="1" si="86"/>
        <v>1.1609932104079235E-2</v>
      </c>
      <c r="L693" s="3"/>
    </row>
    <row r="694" spans="1:12" x14ac:dyDescent="0.3">
      <c r="A694">
        <v>692</v>
      </c>
      <c r="B694" s="2">
        <f t="shared" si="80"/>
        <v>20906.344410876132</v>
      </c>
      <c r="C694" s="2">
        <f t="shared" si="81"/>
        <v>3.4350994981440846E-3</v>
      </c>
      <c r="D694" s="2">
        <f t="shared" si="82"/>
        <v>17.962382782588975</v>
      </c>
      <c r="E694" s="3">
        <f t="shared" si="87"/>
        <v>64.332289008660155</v>
      </c>
      <c r="F694" cm="1">
        <f t="array" aca="1" ref="F694" ca="1">INDEX($O$2:$O$34,INT(A694/$Z$1)+1)</f>
        <v>65.81230453754813</v>
      </c>
      <c r="G694" cm="1">
        <f t="array" aca="1" ref="G694" ca="1">INDEX($O$2:$O$34,INT(A694/$Z$1)+2)</f>
        <v>63.426171335778726</v>
      </c>
      <c r="H694">
        <f t="shared" ca="1" si="83"/>
        <v>-7.4566662555293872E-2</v>
      </c>
      <c r="I694">
        <f t="shared" ca="1" si="84"/>
        <v>-1.4913332511058774</v>
      </c>
      <c r="J694" s="3">
        <f t="shared" ca="1" si="85"/>
        <v>64.320971286442258</v>
      </c>
      <c r="K694" s="3">
        <f t="shared" ca="1" si="86"/>
        <v>1.1317722217896176E-2</v>
      </c>
      <c r="L694" s="3"/>
    </row>
    <row r="695" spans="1:12" x14ac:dyDescent="0.3">
      <c r="A695">
        <v>693</v>
      </c>
      <c r="B695" s="2">
        <f t="shared" si="80"/>
        <v>21000</v>
      </c>
      <c r="C695" s="2">
        <f t="shared" si="81"/>
        <v>3.4355909396764591E-3</v>
      </c>
      <c r="D695" s="2">
        <f t="shared" si="82"/>
        <v>17.920740829865338</v>
      </c>
      <c r="E695" s="3">
        <f t="shared" si="87"/>
        <v>64.257333493757613</v>
      </c>
      <c r="F695" cm="1">
        <f t="array" aca="1" ref="F695" ca="1">INDEX($O$2:$O$34,INT(A695/$Z$1)+1)</f>
        <v>65.81230453754813</v>
      </c>
      <c r="G695" cm="1">
        <f t="array" aca="1" ref="G695" ca="1">INDEX($O$2:$O$34,INT(A695/$Z$1)+2)</f>
        <v>63.426171335778726</v>
      </c>
      <c r="H695">
        <f t="shared" ca="1" si="83"/>
        <v>-7.4566662555293872E-2</v>
      </c>
      <c r="I695">
        <f t="shared" ca="1" si="84"/>
        <v>-1.5658999136611713</v>
      </c>
      <c r="J695" s="3">
        <f t="shared" ca="1" si="85"/>
        <v>64.24640462388696</v>
      </c>
      <c r="K695" s="3">
        <f t="shared" ca="1" si="86"/>
        <v>1.0928869870653557E-2</v>
      </c>
      <c r="L695" s="3"/>
    </row>
    <row r="696" spans="1:12" x14ac:dyDescent="0.3">
      <c r="A696">
        <v>694</v>
      </c>
      <c r="B696" s="2">
        <f t="shared" si="80"/>
        <v>21094.224924012156</v>
      </c>
      <c r="C696" s="2">
        <f t="shared" si="81"/>
        <v>3.4360831618969558E-3</v>
      </c>
      <c r="D696" s="2">
        <f t="shared" si="82"/>
        <v>17.879044666058348</v>
      </c>
      <c r="E696" s="3">
        <f t="shared" si="87"/>
        <v>64.182280398905021</v>
      </c>
      <c r="F696" cm="1">
        <f t="array" aca="1" ref="F696" ca="1">INDEX($O$2:$O$34,INT(A696/$Z$1)+1)</f>
        <v>65.81230453754813</v>
      </c>
      <c r="G696" cm="1">
        <f t="array" aca="1" ref="G696" ca="1">INDEX($O$2:$O$34,INT(A696/$Z$1)+2)</f>
        <v>63.426171335778726</v>
      </c>
      <c r="H696">
        <f t="shared" ca="1" si="83"/>
        <v>-7.4566662555293872E-2</v>
      </c>
      <c r="I696">
        <f t="shared" ca="1" si="84"/>
        <v>-1.6404665762164652</v>
      </c>
      <c r="J696" s="3">
        <f t="shared" ca="1" si="85"/>
        <v>64.171837961331661</v>
      </c>
      <c r="K696" s="3">
        <f t="shared" ca="1" si="86"/>
        <v>1.0442437573360053E-2</v>
      </c>
      <c r="L696" s="3"/>
    </row>
    <row r="697" spans="1:12" x14ac:dyDescent="0.3">
      <c r="A697">
        <v>695</v>
      </c>
      <c r="B697" s="2">
        <f t="shared" si="80"/>
        <v>21189.024390243903</v>
      </c>
      <c r="C697" s="2">
        <f t="shared" si="81"/>
        <v>3.4365761716117797E-3</v>
      </c>
      <c r="D697" s="2">
        <f t="shared" si="82"/>
        <v>17.837293766572543</v>
      </c>
      <c r="E697" s="3">
        <f t="shared" si="87"/>
        <v>64.107128779830575</v>
      </c>
      <c r="F697" cm="1">
        <f t="array" aca="1" ref="F697" ca="1">INDEX($O$2:$O$34,INT(A697/$Z$1)+1)</f>
        <v>65.81230453754813</v>
      </c>
      <c r="G697" cm="1">
        <f t="array" aca="1" ref="G697" ca="1">INDEX($O$2:$O$34,INT(A697/$Z$1)+2)</f>
        <v>63.426171335778726</v>
      </c>
      <c r="H697">
        <f t="shared" ca="1" si="83"/>
        <v>-7.4566662555293872E-2</v>
      </c>
      <c r="I697">
        <f t="shared" ca="1" si="84"/>
        <v>-1.7150332387717591</v>
      </c>
      <c r="J697" s="3">
        <f t="shared" ca="1" si="85"/>
        <v>64.097271298776377</v>
      </c>
      <c r="K697" s="3">
        <f t="shared" ca="1" si="86"/>
        <v>9.8574810541975921E-3</v>
      </c>
      <c r="L697" s="3"/>
    </row>
    <row r="698" spans="1:12" x14ac:dyDescent="0.3">
      <c r="A698">
        <v>696</v>
      </c>
      <c r="B698" s="2">
        <f t="shared" si="80"/>
        <v>21284.403669724772</v>
      </c>
      <c r="C698" s="2">
        <f t="shared" si="81"/>
        <v>3.4370699756806002E-3</v>
      </c>
      <c r="D698" s="2">
        <f t="shared" si="82"/>
        <v>17.795487602993148</v>
      </c>
      <c r="E698" s="3">
        <f t="shared" si="87"/>
        <v>64.03187768538767</v>
      </c>
      <c r="F698" cm="1">
        <f t="array" aca="1" ref="F698" ca="1">INDEX($O$2:$O$34,INT(A698/$Z$1)+1)</f>
        <v>65.81230453754813</v>
      </c>
      <c r="G698" cm="1">
        <f t="array" aca="1" ref="G698" ca="1">INDEX($O$2:$O$34,INT(A698/$Z$1)+2)</f>
        <v>63.426171335778726</v>
      </c>
      <c r="H698">
        <f t="shared" ca="1" si="83"/>
        <v>-7.4566662555293872E-2</v>
      </c>
      <c r="I698">
        <f t="shared" ca="1" si="84"/>
        <v>-1.7895999013270529</v>
      </c>
      <c r="J698" s="3">
        <f t="shared" ca="1" si="85"/>
        <v>64.022704636221079</v>
      </c>
      <c r="K698" s="3">
        <f t="shared" ca="1" si="86"/>
        <v>9.1730491665913405E-3</v>
      </c>
      <c r="L698" s="3"/>
    </row>
    <row r="699" spans="1:12" x14ac:dyDescent="0.3">
      <c r="A699">
        <v>697</v>
      </c>
      <c r="B699" s="2">
        <f t="shared" si="80"/>
        <v>21380.36809815951</v>
      </c>
      <c r="C699" s="2">
        <f t="shared" si="81"/>
        <v>3.437564581017257E-3</v>
      </c>
      <c r="D699" s="2">
        <f t="shared" si="82"/>
        <v>17.753625643034866</v>
      </c>
      <c r="E699" s="3">
        <f t="shared" si="87"/>
        <v>63.956526157462761</v>
      </c>
      <c r="F699" cm="1">
        <f t="array" aca="1" ref="F699" ca="1">INDEX($O$2:$O$34,INT(A699/$Z$1)+1)</f>
        <v>65.81230453754813</v>
      </c>
      <c r="G699" cm="1">
        <f t="array" aca="1" ref="G699" ca="1">INDEX($O$2:$O$34,INT(A699/$Z$1)+2)</f>
        <v>63.426171335778726</v>
      </c>
      <c r="H699">
        <f t="shared" ca="1" si="83"/>
        <v>-7.4566662555293872E-2</v>
      </c>
      <c r="I699">
        <f t="shared" ca="1" si="84"/>
        <v>-1.8641665638823468</v>
      </c>
      <c r="J699" s="3">
        <f t="shared" ca="1" si="85"/>
        <v>63.94813797366578</v>
      </c>
      <c r="K699" s="3">
        <f t="shared" ca="1" si="86"/>
        <v>8.3881837969812523E-3</v>
      </c>
      <c r="L699" s="3"/>
    </row>
    <row r="700" spans="1:12" x14ac:dyDescent="0.3">
      <c r="A700">
        <v>698</v>
      </c>
      <c r="B700" s="2">
        <f t="shared" si="80"/>
        <v>21476.923076923078</v>
      </c>
      <c r="C700" s="2">
        <f t="shared" si="81"/>
        <v>3.4380599945904762E-3</v>
      </c>
      <c r="D700" s="2">
        <f t="shared" si="82"/>
        <v>17.711707350489348</v>
      </c>
      <c r="E700" s="3">
        <f t="shared" si="87"/>
        <v>63.88107323088083</v>
      </c>
      <c r="F700" cm="1">
        <f t="array" aca="1" ref="F700" ca="1">INDEX($O$2:$O$34,INT(A700/$Z$1)+1)</f>
        <v>65.81230453754813</v>
      </c>
      <c r="G700" cm="1">
        <f t="array" aca="1" ref="G700" ca="1">INDEX($O$2:$O$34,INT(A700/$Z$1)+2)</f>
        <v>63.426171335778726</v>
      </c>
      <c r="H700">
        <f t="shared" ca="1" si="83"/>
        <v>-7.4566662555293872E-2</v>
      </c>
      <c r="I700">
        <f t="shared" ca="1" si="84"/>
        <v>-1.9387332264376407</v>
      </c>
      <c r="J700" s="3">
        <f t="shared" ca="1" si="85"/>
        <v>63.873571311110489</v>
      </c>
      <c r="K700" s="3">
        <f t="shared" ca="1" si="86"/>
        <v>7.5019197703412033E-3</v>
      </c>
      <c r="L700" s="3"/>
    </row>
    <row r="701" spans="1:12" x14ac:dyDescent="0.3">
      <c r="A701">
        <v>699</v>
      </c>
      <c r="B701" s="2">
        <f t="shared" si="80"/>
        <v>21574.074074074073</v>
      </c>
      <c r="C701" s="2">
        <f t="shared" si="81"/>
        <v>3.4385562234245984E-3</v>
      </c>
      <c r="D701" s="2">
        <f t="shared" si="82"/>
        <v>17.669732185172563</v>
      </c>
      <c r="E701" s="3">
        <f t="shared" si="87"/>
        <v>63.805517933310611</v>
      </c>
      <c r="F701" cm="1">
        <f t="array" aca="1" ref="F701" ca="1">INDEX($O$2:$O$34,INT(A701/$Z$1)+1)</f>
        <v>65.81230453754813</v>
      </c>
      <c r="G701" cm="1">
        <f t="array" aca="1" ref="G701" ca="1">INDEX($O$2:$O$34,INT(A701/$Z$1)+2)</f>
        <v>63.426171335778726</v>
      </c>
      <c r="H701">
        <f t="shared" ca="1" si="83"/>
        <v>-7.4566662555293872E-2</v>
      </c>
      <c r="I701">
        <f t="shared" ca="1" si="84"/>
        <v>-2.0132998889929343</v>
      </c>
      <c r="J701" s="3">
        <f t="shared" ca="1" si="85"/>
        <v>63.799004648555197</v>
      </c>
      <c r="K701" s="3">
        <f t="shared" ca="1" si="86"/>
        <v>6.5132847554139062E-3</v>
      </c>
      <c r="L701" s="3"/>
    </row>
    <row r="702" spans="1:12" x14ac:dyDescent="0.3">
      <c r="A702">
        <v>700</v>
      </c>
      <c r="B702" s="2">
        <f t="shared" si="80"/>
        <v>21671.826625386995</v>
      </c>
      <c r="C702" s="2">
        <f t="shared" si="81"/>
        <v>3.4390532746003161E-3</v>
      </c>
      <c r="D702" s="2">
        <f t="shared" si="82"/>
        <v>17.627699602870848</v>
      </c>
      <c r="E702" s="3">
        <f t="shared" si="87"/>
        <v>63.729859285167528</v>
      </c>
      <c r="F702" cm="1">
        <f t="array" aca="1" ref="F702" ca="1">INDEX($O$2:$O$34,INT(A702/$Z$1)+1)</f>
        <v>65.81230453754813</v>
      </c>
      <c r="G702" cm="1">
        <f t="array" aca="1" ref="G702" ca="1">INDEX($O$2:$O$34,INT(A702/$Z$1)+2)</f>
        <v>63.426171335778726</v>
      </c>
      <c r="H702">
        <f t="shared" ca="1" si="83"/>
        <v>-7.4566662555293872E-2</v>
      </c>
      <c r="I702">
        <f t="shared" ca="1" si="84"/>
        <v>-2.0878665515482284</v>
      </c>
      <c r="J702" s="3">
        <f t="shared" ca="1" si="85"/>
        <v>63.724437985999899</v>
      </c>
      <c r="K702" s="3">
        <f t="shared" ca="1" si="86"/>
        <v>5.4212991676294564E-3</v>
      </c>
      <c r="L702" s="3"/>
    </row>
    <row r="703" spans="1:12" x14ac:dyDescent="0.3">
      <c r="A703">
        <v>701</v>
      </c>
      <c r="B703" s="2">
        <f t="shared" si="80"/>
        <v>21770.186335403727</v>
      </c>
      <c r="C703" s="2">
        <f t="shared" si="81"/>
        <v>3.4395511552554234E-3</v>
      </c>
      <c r="D703" s="2">
        <f t="shared" si="82"/>
        <v>17.585609055286568</v>
      </c>
      <c r="E703" s="3">
        <f t="shared" si="87"/>
        <v>63.654096299515821</v>
      </c>
      <c r="F703" cm="1">
        <f t="array" aca="1" ref="F703" ca="1">INDEX($O$2:$O$34,INT(A703/$Z$1)+1)</f>
        <v>65.81230453754813</v>
      </c>
      <c r="G703" cm="1">
        <f t="array" aca="1" ref="G703" ca="1">INDEX($O$2:$O$34,INT(A703/$Z$1)+2)</f>
        <v>63.426171335778726</v>
      </c>
      <c r="H703">
        <f t="shared" ca="1" si="83"/>
        <v>-7.4566662555293872E-2</v>
      </c>
      <c r="I703">
        <f t="shared" ca="1" si="84"/>
        <v>-2.1624332141035225</v>
      </c>
      <c r="J703" s="3">
        <f t="shared" ca="1" si="85"/>
        <v>63.649871323444607</v>
      </c>
      <c r="K703" s="3">
        <f t="shared" ca="1" si="86"/>
        <v>4.2249760712138595E-3</v>
      </c>
      <c r="L703" s="3"/>
    </row>
    <row r="704" spans="1:12" x14ac:dyDescent="0.3">
      <c r="A704">
        <v>702</v>
      </c>
      <c r="B704" s="2">
        <f t="shared" si="80"/>
        <v>21869.158878504673</v>
      </c>
      <c r="C704" s="2">
        <f t="shared" si="81"/>
        <v>3.4400498725855769E-3</v>
      </c>
      <c r="D704" s="2">
        <f t="shared" si="82"/>
        <v>17.54345998998258</v>
      </c>
      <c r="E704" s="3">
        <f t="shared" si="87"/>
        <v>63.578227981968645</v>
      </c>
      <c r="F704" cm="1">
        <f t="array" aca="1" ref="F704" ca="1">INDEX($O$2:$O$34,INT(A704/$Z$1)+1)</f>
        <v>65.81230453754813</v>
      </c>
      <c r="G704" cm="1">
        <f t="array" aca="1" ref="G704" ca="1">INDEX($O$2:$O$34,INT(A704/$Z$1)+2)</f>
        <v>63.426171335778726</v>
      </c>
      <c r="H704">
        <f t="shared" ca="1" si="83"/>
        <v>-7.4566662555293872E-2</v>
      </c>
      <c r="I704">
        <f t="shared" ca="1" si="84"/>
        <v>-2.2369998766588162</v>
      </c>
      <c r="J704" s="3">
        <f t="shared" ca="1" si="85"/>
        <v>63.575304660889316</v>
      </c>
      <c r="K704" s="3">
        <f t="shared" ca="1" si="86"/>
        <v>2.9233210793293551E-3</v>
      </c>
      <c r="L704" s="3"/>
    </row>
    <row r="705" spans="1:12" x14ac:dyDescent="0.3">
      <c r="A705">
        <v>703</v>
      </c>
      <c r="B705" s="2">
        <f t="shared" si="80"/>
        <v>21968.75</v>
      </c>
      <c r="C705" s="2">
        <f t="shared" si="81"/>
        <v>3.4405494338450664E-3</v>
      </c>
      <c r="D705" s="2">
        <f t="shared" si="82"/>
        <v>17.501251850326355</v>
      </c>
      <c r="E705" s="3">
        <f t="shared" si="87"/>
        <v>63.502253330587436</v>
      </c>
      <c r="F705" cm="1">
        <f t="array" aca="1" ref="F705" ca="1">INDEX($O$2:$O$34,INT(A705/$Z$1)+1)</f>
        <v>65.81230453754813</v>
      </c>
      <c r="G705" cm="1">
        <f t="array" aca="1" ref="G705" ca="1">INDEX($O$2:$O$34,INT(A705/$Z$1)+2)</f>
        <v>63.426171335778726</v>
      </c>
      <c r="H705">
        <f t="shared" ca="1" si="83"/>
        <v>-7.4566662555293872E-2</v>
      </c>
      <c r="I705">
        <f t="shared" ca="1" si="84"/>
        <v>-2.3115665392141098</v>
      </c>
      <c r="J705" s="3">
        <f t="shared" ca="1" si="85"/>
        <v>63.500737998334017</v>
      </c>
      <c r="K705" s="3">
        <f t="shared" ca="1" si="86"/>
        <v>1.5153322534189329E-3</v>
      </c>
      <c r="L705" s="3"/>
    </row>
    <row r="706" spans="1:12" x14ac:dyDescent="0.3">
      <c r="A706">
        <v>704</v>
      </c>
      <c r="B706" s="2">
        <f t="shared" ref="B706:B769" si="88">$T$1*A706/($V$1-A706)</f>
        <v>22068.96551724138</v>
      </c>
      <c r="C706" s="2">
        <f t="shared" ref="C706:C769" si="89">LOG(B706/$T$2)/$T$3 + (1/$X$2)</f>
        <v>3.4410498463476017E-3</v>
      </c>
      <c r="D706" s="2">
        <f t="shared" ref="D706:D769" si="90">1/C706 - 273.15</f>
        <v>17.458984075432625</v>
      </c>
      <c r="E706" s="3">
        <f t="shared" si="87"/>
        <v>63.426171335778726</v>
      </c>
      <c r="F706" cm="1">
        <f t="array" aca="1" ref="F706" ca="1">INDEX($O$2:$O$34,INT(A706/$Z$1)+1)</f>
        <v>63.426171335778726</v>
      </c>
      <c r="G706" cm="1">
        <f t="array" aca="1" ref="G706" ca="1">INDEX($O$2:$O$34,INT(A706/$Z$1)+2)</f>
        <v>60.928385450259839</v>
      </c>
      <c r="H706">
        <f t="shared" ca="1" si="83"/>
        <v>-7.805580892246522E-2</v>
      </c>
      <c r="I706">
        <f t="shared" ca="1" si="84"/>
        <v>0</v>
      </c>
      <c r="J706" s="3">
        <f t="shared" ca="1" si="85"/>
        <v>63.426171335778726</v>
      </c>
      <c r="K706" s="3">
        <f t="shared" ca="1" si="86"/>
        <v>0</v>
      </c>
      <c r="L706" s="3"/>
    </row>
    <row r="707" spans="1:12" x14ac:dyDescent="0.3">
      <c r="A707">
        <v>705</v>
      </c>
      <c r="B707" s="2">
        <f t="shared" si="88"/>
        <v>22169.811320754718</v>
      </c>
      <c r="C707" s="2">
        <f t="shared" si="89"/>
        <v>3.4415511174671039E-3</v>
      </c>
      <c r="D707" s="2">
        <f t="shared" si="90"/>
        <v>17.416656100106195</v>
      </c>
      <c r="E707" s="3">
        <f t="shared" si="87"/>
        <v>63.349980980191148</v>
      </c>
      <c r="F707" cm="1">
        <f t="array" aca="1" ref="F707" ca="1">INDEX($O$2:$O$34,INT(A707/$Z$1)+1)</f>
        <v>63.426171335778726</v>
      </c>
      <c r="G707" cm="1">
        <f t="array" aca="1" ref="G707" ca="1">INDEX($O$2:$O$34,INT(A707/$Z$1)+2)</f>
        <v>60.928385450259839</v>
      </c>
      <c r="H707">
        <f t="shared" ref="H707:H770" ca="1" si="91">(G707-F707)/$Z$1</f>
        <v>-7.805580892246522E-2</v>
      </c>
      <c r="I707">
        <f t="shared" ref="I707:I770" ca="1" si="92">H707*MOD(A707,$Z$1)</f>
        <v>-7.805580892246522E-2</v>
      </c>
      <c r="J707" s="3">
        <f t="shared" ref="J707:J770" ca="1" si="93">F707+I707</f>
        <v>63.348115526856262</v>
      </c>
      <c r="K707" s="3">
        <f t="shared" ref="K707:K770" ca="1" si="94">E707-J707</f>
        <v>1.8654533348865243E-3</v>
      </c>
      <c r="L707" s="3"/>
    </row>
    <row r="708" spans="1:12" x14ac:dyDescent="0.3">
      <c r="A708">
        <v>706</v>
      </c>
      <c r="B708" s="2">
        <f t="shared" si="88"/>
        <v>22271.293375394322</v>
      </c>
      <c r="C708" s="2">
        <f t="shared" si="89"/>
        <v>3.4420532546385182E-3</v>
      </c>
      <c r="D708" s="2">
        <f t="shared" si="90"/>
        <v>17.374267354782489</v>
      </c>
      <c r="E708" s="3">
        <f t="shared" ref="E708:E771" si="95">D708*9/5 + 32</f>
        <v>63.273681238608482</v>
      </c>
      <c r="F708" cm="1">
        <f t="array" aca="1" ref="F708" ca="1">INDEX($O$2:$O$34,INT(A708/$Z$1)+1)</f>
        <v>63.426171335778726</v>
      </c>
      <c r="G708" cm="1">
        <f t="array" aca="1" ref="G708" ca="1">INDEX($O$2:$O$34,INT(A708/$Z$1)+2)</f>
        <v>60.928385450259839</v>
      </c>
      <c r="H708">
        <f t="shared" ca="1" si="91"/>
        <v>-7.805580892246522E-2</v>
      </c>
      <c r="I708">
        <f t="shared" ca="1" si="92"/>
        <v>-0.15611161784493044</v>
      </c>
      <c r="J708" s="3">
        <f t="shared" ca="1" si="93"/>
        <v>63.270059717933798</v>
      </c>
      <c r="K708" s="3">
        <f t="shared" ca="1" si="94"/>
        <v>3.6215206746845752E-3</v>
      </c>
      <c r="L708" s="3"/>
    </row>
    <row r="709" spans="1:12" x14ac:dyDescent="0.3">
      <c r="A709">
        <v>707</v>
      </c>
      <c r="B709" s="2">
        <f t="shared" si="88"/>
        <v>22373.417721518988</v>
      </c>
      <c r="C709" s="2">
        <f t="shared" si="89"/>
        <v>3.4425562653586303E-3</v>
      </c>
      <c r="D709" s="2">
        <f t="shared" si="90"/>
        <v>17.331817265468715</v>
      </c>
      <c r="E709" s="3">
        <f t="shared" si="95"/>
        <v>63.197271077843688</v>
      </c>
      <c r="F709" cm="1">
        <f t="array" aca="1" ref="F709" ca="1">INDEX($O$2:$O$34,INT(A709/$Z$1)+1)</f>
        <v>63.426171335778726</v>
      </c>
      <c r="G709" cm="1">
        <f t="array" aca="1" ref="G709" ca="1">INDEX($O$2:$O$34,INT(A709/$Z$1)+2)</f>
        <v>60.928385450259839</v>
      </c>
      <c r="H709">
        <f t="shared" ca="1" si="91"/>
        <v>-7.805580892246522E-2</v>
      </c>
      <c r="I709">
        <f t="shared" ca="1" si="92"/>
        <v>-0.23416742676739566</v>
      </c>
      <c r="J709" s="3">
        <f t="shared" ca="1" si="93"/>
        <v>63.192003909011333</v>
      </c>
      <c r="K709" s="3">
        <f t="shared" ca="1" si="94"/>
        <v>5.2671688323542298E-3</v>
      </c>
      <c r="L709" s="3"/>
    </row>
    <row r="710" spans="1:12" x14ac:dyDescent="0.3">
      <c r="A710">
        <v>708</v>
      </c>
      <c r="B710" s="2">
        <f t="shared" si="88"/>
        <v>22476.190476190477</v>
      </c>
      <c r="C710" s="2">
        <f t="shared" si="89"/>
        <v>3.4430601571869019E-3</v>
      </c>
      <c r="D710" s="2">
        <f t="shared" si="90"/>
        <v>17.289305253682926</v>
      </c>
      <c r="E710" s="3">
        <f t="shared" si="95"/>
        <v>63.12074945662927</v>
      </c>
      <c r="F710" cm="1">
        <f t="array" aca="1" ref="F710" ca="1">INDEX($O$2:$O$34,INT(A710/$Z$1)+1)</f>
        <v>63.426171335778726</v>
      </c>
      <c r="G710" cm="1">
        <f t="array" aca="1" ref="G710" ca="1">INDEX($O$2:$O$34,INT(A710/$Z$1)+2)</f>
        <v>60.928385450259839</v>
      </c>
      <c r="H710">
        <f t="shared" ca="1" si="91"/>
        <v>-7.805580892246522E-2</v>
      </c>
      <c r="I710">
        <f t="shared" ca="1" si="92"/>
        <v>-0.31222323568986088</v>
      </c>
      <c r="J710" s="3">
        <f t="shared" ca="1" si="93"/>
        <v>63.113948100088862</v>
      </c>
      <c r="K710" s="3">
        <f t="shared" ca="1" si="94"/>
        <v>6.8013565404072551E-3</v>
      </c>
      <c r="L710" s="3"/>
    </row>
    <row r="711" spans="1:12" x14ac:dyDescent="0.3">
      <c r="A711">
        <v>709</v>
      </c>
      <c r="B711" s="2">
        <f t="shared" si="88"/>
        <v>22579.617834394903</v>
      </c>
      <c r="C711" s="2">
        <f t="shared" si="89"/>
        <v>3.4435649377463156E-3</v>
      </c>
      <c r="D711" s="2">
        <f t="shared" si="90"/>
        <v>17.246730736392806</v>
      </c>
      <c r="E711" s="3">
        <f t="shared" si="95"/>
        <v>63.04411532550705</v>
      </c>
      <c r="F711" cm="1">
        <f t="array" aca="1" ref="F711" ca="1">INDEX($O$2:$O$34,INT(A711/$Z$1)+1)</f>
        <v>63.426171335778726</v>
      </c>
      <c r="G711" cm="1">
        <f t="array" aca="1" ref="G711" ca="1">INDEX($O$2:$O$34,INT(A711/$Z$1)+2)</f>
        <v>60.928385450259839</v>
      </c>
      <c r="H711">
        <f t="shared" ca="1" si="91"/>
        <v>-7.805580892246522E-2</v>
      </c>
      <c r="I711">
        <f t="shared" ca="1" si="92"/>
        <v>-0.3902790446123261</v>
      </c>
      <c r="J711" s="3">
        <f t="shared" ca="1" si="93"/>
        <v>63.035892291166398</v>
      </c>
      <c r="K711" s="3">
        <f t="shared" ca="1" si="94"/>
        <v>8.2230343406521911E-3</v>
      </c>
      <c r="L711" s="3"/>
    </row>
    <row r="712" spans="1:12" x14ac:dyDescent="0.3">
      <c r="A712">
        <v>710</v>
      </c>
      <c r="B712" s="2">
        <f t="shared" si="88"/>
        <v>22683.706070287539</v>
      </c>
      <c r="C712" s="2">
        <f t="shared" si="89"/>
        <v>3.4440706147242334E-3</v>
      </c>
      <c r="D712" s="2">
        <f t="shared" si="90"/>
        <v>17.204093125953534</v>
      </c>
      <c r="E712" s="3">
        <f t="shared" si="95"/>
        <v>62.96736762671636</v>
      </c>
      <c r="F712" cm="1">
        <f t="array" aca="1" ref="F712" ca="1">INDEX($O$2:$O$34,INT(A712/$Z$1)+1)</f>
        <v>63.426171335778726</v>
      </c>
      <c r="G712" cm="1">
        <f t="array" aca="1" ref="G712" ca="1">INDEX($O$2:$O$34,INT(A712/$Z$1)+2)</f>
        <v>60.928385450259839</v>
      </c>
      <c r="H712">
        <f t="shared" ca="1" si="91"/>
        <v>-7.805580892246522E-2</v>
      </c>
      <c r="I712">
        <f t="shared" ca="1" si="92"/>
        <v>-0.46833485353479132</v>
      </c>
      <c r="J712" s="3">
        <f t="shared" ca="1" si="93"/>
        <v>62.957836482243934</v>
      </c>
      <c r="K712" s="3">
        <f t="shared" ca="1" si="94"/>
        <v>9.5311444724259786E-3</v>
      </c>
      <c r="L712" s="3"/>
    </row>
    <row r="713" spans="1:12" x14ac:dyDescent="0.3">
      <c r="A713">
        <v>711</v>
      </c>
      <c r="B713" s="2">
        <f t="shared" si="88"/>
        <v>22788.461538461539</v>
      </c>
      <c r="C713" s="2">
        <f t="shared" si="89"/>
        <v>3.4445771958732706E-3</v>
      </c>
      <c r="D713" s="2">
        <f t="shared" si="90"/>
        <v>17.161391830044238</v>
      </c>
      <c r="E713" s="3">
        <f t="shared" si="95"/>
        <v>62.890505294079631</v>
      </c>
      <c r="F713" cm="1">
        <f t="array" aca="1" ref="F713" ca="1">INDEX($O$2:$O$34,INT(A713/$Z$1)+1)</f>
        <v>63.426171335778726</v>
      </c>
      <c r="G713" cm="1">
        <f t="array" aca="1" ref="G713" ca="1">INDEX($O$2:$O$34,INT(A713/$Z$1)+2)</f>
        <v>60.928385450259839</v>
      </c>
      <c r="H713">
        <f t="shared" ca="1" si="91"/>
        <v>-7.805580892246522E-2</v>
      </c>
      <c r="I713">
        <f t="shared" ca="1" si="92"/>
        <v>-0.54639066245725654</v>
      </c>
      <c r="J713" s="3">
        <f t="shared" ca="1" si="93"/>
        <v>62.87978067332147</v>
      </c>
      <c r="K713" s="3">
        <f t="shared" ca="1" si="94"/>
        <v>1.0724620758161052E-2</v>
      </c>
      <c r="L713" s="3"/>
    </row>
    <row r="714" spans="1:12" x14ac:dyDescent="0.3">
      <c r="A714">
        <v>712</v>
      </c>
      <c r="B714" s="2">
        <f t="shared" si="88"/>
        <v>22893.890675241157</v>
      </c>
      <c r="C714" s="2">
        <f t="shared" si="89"/>
        <v>3.4450846890121808E-3</v>
      </c>
      <c r="D714" s="2">
        <f t="shared" si="90"/>
        <v>17.118626251603985</v>
      </c>
      <c r="E714" s="3">
        <f t="shared" si="95"/>
        <v>62.81352725288717</v>
      </c>
      <c r="F714" cm="1">
        <f t="array" aca="1" ref="F714" ca="1">INDEX($O$2:$O$34,INT(A714/$Z$1)+1)</f>
        <v>63.426171335778726</v>
      </c>
      <c r="G714" cm="1">
        <f t="array" aca="1" ref="G714" ca="1">INDEX($O$2:$O$34,INT(A714/$Z$1)+2)</f>
        <v>60.928385450259839</v>
      </c>
      <c r="H714">
        <f t="shared" ca="1" si="91"/>
        <v>-7.805580892246522E-2</v>
      </c>
      <c r="I714">
        <f t="shared" ca="1" si="92"/>
        <v>-0.62444647137972176</v>
      </c>
      <c r="J714" s="3">
        <f t="shared" ca="1" si="93"/>
        <v>62.801724864399006</v>
      </c>
      <c r="K714" s="3">
        <f t="shared" ca="1" si="94"/>
        <v>1.1802388488163729E-2</v>
      </c>
      <c r="L714" s="3"/>
    </row>
    <row r="715" spans="1:12" x14ac:dyDescent="0.3">
      <c r="A715">
        <v>713</v>
      </c>
      <c r="B715" s="2">
        <f t="shared" si="88"/>
        <v>23000</v>
      </c>
      <c r="C715" s="2">
        <f t="shared" si="89"/>
        <v>3.4455931020267562E-3</v>
      </c>
      <c r="D715" s="2">
        <f t="shared" si="90"/>
        <v>17.075795788766584</v>
      </c>
      <c r="E715" s="3">
        <f t="shared" si="95"/>
        <v>62.736432419779852</v>
      </c>
      <c r="F715" cm="1">
        <f t="array" aca="1" ref="F715" ca="1">INDEX($O$2:$O$34,INT(A715/$Z$1)+1)</f>
        <v>63.426171335778726</v>
      </c>
      <c r="G715" cm="1">
        <f t="array" aca="1" ref="G715" ca="1">INDEX($O$2:$O$34,INT(A715/$Z$1)+2)</f>
        <v>60.928385450259839</v>
      </c>
      <c r="H715">
        <f t="shared" ca="1" si="91"/>
        <v>-7.805580892246522E-2</v>
      </c>
      <c r="I715">
        <f t="shared" ca="1" si="92"/>
        <v>-0.70250228030218698</v>
      </c>
      <c r="J715" s="3">
        <f t="shared" ca="1" si="93"/>
        <v>62.723669055476542</v>
      </c>
      <c r="K715" s="3">
        <f t="shared" ca="1" si="94"/>
        <v>1.2763364303310709E-2</v>
      </c>
      <c r="L715" s="3"/>
    </row>
    <row r="716" spans="1:12" x14ac:dyDescent="0.3">
      <c r="A716">
        <v>714</v>
      </c>
      <c r="B716" s="2">
        <f t="shared" si="88"/>
        <v>23106.796116504855</v>
      </c>
      <c r="C716" s="2">
        <f t="shared" si="89"/>
        <v>3.446102442870743E-3</v>
      </c>
      <c r="D716" s="2">
        <f t="shared" si="90"/>
        <v>17.03289983479408</v>
      </c>
      <c r="E716" s="3">
        <f t="shared" si="95"/>
        <v>62.659219702629343</v>
      </c>
      <c r="F716" cm="1">
        <f t="array" aca="1" ref="F716" ca="1">INDEX($O$2:$O$34,INT(A716/$Z$1)+1)</f>
        <v>63.426171335778726</v>
      </c>
      <c r="G716" cm="1">
        <f t="array" aca="1" ref="G716" ca="1">INDEX($O$2:$O$34,INT(A716/$Z$1)+2)</f>
        <v>60.928385450259839</v>
      </c>
      <c r="H716">
        <f t="shared" ca="1" si="91"/>
        <v>-7.805580892246522E-2</v>
      </c>
      <c r="I716">
        <f t="shared" ca="1" si="92"/>
        <v>-0.7805580892246522</v>
      </c>
      <c r="J716" s="3">
        <f t="shared" ca="1" si="93"/>
        <v>62.64561324655407</v>
      </c>
      <c r="K716" s="3">
        <f t="shared" ca="1" si="94"/>
        <v>1.3606456075272888E-2</v>
      </c>
      <c r="L716" s="3"/>
    </row>
    <row r="717" spans="1:12" x14ac:dyDescent="0.3">
      <c r="A717">
        <v>715</v>
      </c>
      <c r="B717" s="2">
        <f t="shared" si="88"/>
        <v>23214.285714285714</v>
      </c>
      <c r="C717" s="2">
        <f t="shared" si="89"/>
        <v>3.4466127195667672E-3</v>
      </c>
      <c r="D717" s="2">
        <f t="shared" si="90"/>
        <v>16.98993777801013</v>
      </c>
      <c r="E717" s="3">
        <f t="shared" si="95"/>
        <v>62.581888000418232</v>
      </c>
      <c r="F717" cm="1">
        <f t="array" aca="1" ref="F717" ca="1">INDEX($O$2:$O$34,INT(A717/$Z$1)+1)</f>
        <v>63.426171335778726</v>
      </c>
      <c r="G717" cm="1">
        <f t="array" aca="1" ref="G717" ca="1">INDEX($O$2:$O$34,INT(A717/$Z$1)+2)</f>
        <v>60.928385450259839</v>
      </c>
      <c r="H717">
        <f t="shared" ca="1" si="91"/>
        <v>-7.805580892246522E-2</v>
      </c>
      <c r="I717">
        <f t="shared" ca="1" si="92"/>
        <v>-0.85861389814711742</v>
      </c>
      <c r="J717" s="3">
        <f t="shared" ca="1" si="93"/>
        <v>62.567557437631606</v>
      </c>
      <c r="K717" s="3">
        <f t="shared" ca="1" si="94"/>
        <v>1.4330562786625478E-2</v>
      </c>
      <c r="L717" s="3"/>
    </row>
    <row r="718" spans="1:12" x14ac:dyDescent="0.3">
      <c r="A718">
        <v>716</v>
      </c>
      <c r="B718" s="2">
        <f t="shared" si="88"/>
        <v>23322.475570032573</v>
      </c>
      <c r="C718" s="2">
        <f t="shared" si="89"/>
        <v>3.4471239402072821E-3</v>
      </c>
      <c r="D718" s="2">
        <f t="shared" si="90"/>
        <v>16.946909001730944</v>
      </c>
      <c r="E718" s="3">
        <f t="shared" si="95"/>
        <v>62.504436203115702</v>
      </c>
      <c r="F718" cm="1">
        <f t="array" aca="1" ref="F718" ca="1">INDEX($O$2:$O$34,INT(A718/$Z$1)+1)</f>
        <v>63.426171335778726</v>
      </c>
      <c r="G718" cm="1">
        <f t="array" aca="1" ref="G718" ca="1">INDEX($O$2:$O$34,INT(A718/$Z$1)+2)</f>
        <v>60.928385450259839</v>
      </c>
      <c r="H718">
        <f t="shared" ca="1" si="91"/>
        <v>-7.805580892246522E-2</v>
      </c>
      <c r="I718">
        <f t="shared" ca="1" si="92"/>
        <v>-0.93666970706958264</v>
      </c>
      <c r="J718" s="3">
        <f t="shared" ca="1" si="93"/>
        <v>62.489501628709142</v>
      </c>
      <c r="K718" s="3">
        <f t="shared" ca="1" si="94"/>
        <v>1.4934574406559875E-2</v>
      </c>
      <c r="L718" s="3"/>
    </row>
    <row r="719" spans="1:12" x14ac:dyDescent="0.3">
      <c r="A719">
        <v>717</v>
      </c>
      <c r="B719" s="2">
        <f t="shared" si="88"/>
        <v>23431.372549019608</v>
      </c>
      <c r="C719" s="2">
        <f t="shared" si="89"/>
        <v>3.4476361129555226E-3</v>
      </c>
      <c r="D719" s="2">
        <f t="shared" si="90"/>
        <v>16.903812884196611</v>
      </c>
      <c r="E719" s="3">
        <f t="shared" si="95"/>
        <v>62.426863191553899</v>
      </c>
      <c r="F719" cm="1">
        <f t="array" aca="1" ref="F719" ca="1">INDEX($O$2:$O$34,INT(A719/$Z$1)+1)</f>
        <v>63.426171335778726</v>
      </c>
      <c r="G719" cm="1">
        <f t="array" aca="1" ref="G719" ca="1">INDEX($O$2:$O$34,INT(A719/$Z$1)+2)</f>
        <v>60.928385450259839</v>
      </c>
      <c r="H719">
        <f t="shared" ca="1" si="91"/>
        <v>-7.805580892246522E-2</v>
      </c>
      <c r="I719">
        <f t="shared" ca="1" si="92"/>
        <v>-1.0147255159920479</v>
      </c>
      <c r="J719" s="3">
        <f t="shared" ca="1" si="93"/>
        <v>62.411445819786678</v>
      </c>
      <c r="K719" s="3">
        <f t="shared" ca="1" si="94"/>
        <v>1.54173717672208E-2</v>
      </c>
      <c r="L719" s="3"/>
    </row>
    <row r="720" spans="1:12" x14ac:dyDescent="0.3">
      <c r="A720">
        <v>718</v>
      </c>
      <c r="B720" s="2">
        <f t="shared" si="88"/>
        <v>23540.983606557376</v>
      </c>
      <c r="C720" s="2">
        <f t="shared" si="89"/>
        <v>3.4481492460464833E-3</v>
      </c>
      <c r="D720" s="2">
        <f t="shared" si="90"/>
        <v>16.860648798500222</v>
      </c>
      <c r="E720" s="3">
        <f t="shared" si="95"/>
        <v>62.349167837300399</v>
      </c>
      <c r="F720" cm="1">
        <f t="array" aca="1" ref="F720" ca="1">INDEX($O$2:$O$34,INT(A720/$Z$1)+1)</f>
        <v>63.426171335778726</v>
      </c>
      <c r="G720" cm="1">
        <f t="array" aca="1" ref="G720" ca="1">INDEX($O$2:$O$34,INT(A720/$Z$1)+2)</f>
        <v>60.928385450259839</v>
      </c>
      <c r="H720">
        <f t="shared" ca="1" si="91"/>
        <v>-7.805580892246522E-2</v>
      </c>
      <c r="I720">
        <f t="shared" ca="1" si="92"/>
        <v>-1.0927813249145131</v>
      </c>
      <c r="J720" s="3">
        <f t="shared" ca="1" si="93"/>
        <v>62.333390010864214</v>
      </c>
      <c r="K720" s="3">
        <f t="shared" ca="1" si="94"/>
        <v>1.5777826436185194E-2</v>
      </c>
      <c r="L720" s="3"/>
    </row>
    <row r="721" spans="1:12" x14ac:dyDescent="0.3">
      <c r="A721">
        <v>719</v>
      </c>
      <c r="B721" s="2">
        <f t="shared" si="88"/>
        <v>23651.315789473683</v>
      </c>
      <c r="C721" s="2">
        <f t="shared" si="89"/>
        <v>3.4486633477879046E-3</v>
      </c>
      <c r="D721" s="2">
        <f t="shared" si="90"/>
        <v>16.817416112516639</v>
      </c>
      <c r="E721" s="3">
        <f t="shared" si="95"/>
        <v>62.271349002529952</v>
      </c>
      <c r="F721" cm="1">
        <f t="array" aca="1" ref="F721" ca="1">INDEX($O$2:$O$34,INT(A721/$Z$1)+1)</f>
        <v>63.426171335778726</v>
      </c>
      <c r="G721" cm="1">
        <f t="array" aca="1" ref="G721" ca="1">INDEX($O$2:$O$34,INT(A721/$Z$1)+2)</f>
        <v>60.928385450259839</v>
      </c>
      <c r="H721">
        <f t="shared" ca="1" si="91"/>
        <v>-7.805580892246522E-2</v>
      </c>
      <c r="I721">
        <f t="shared" ca="1" si="92"/>
        <v>-1.1708371338369783</v>
      </c>
      <c r="J721" s="3">
        <f t="shared" ca="1" si="93"/>
        <v>62.25533420194175</v>
      </c>
      <c r="K721" s="3">
        <f t="shared" ca="1" si="94"/>
        <v>1.6014800588202149E-2</v>
      </c>
      <c r="L721" s="3"/>
    </row>
    <row r="722" spans="1:12" x14ac:dyDescent="0.3">
      <c r="A722">
        <v>720</v>
      </c>
      <c r="B722" s="2">
        <f t="shared" si="88"/>
        <v>23762.376237623761</v>
      </c>
      <c r="C722" s="2">
        <f t="shared" si="89"/>
        <v>3.4491784265612804E-3</v>
      </c>
      <c r="D722" s="2">
        <f t="shared" si="90"/>
        <v>16.774114188829515</v>
      </c>
      <c r="E722" s="3">
        <f t="shared" si="95"/>
        <v>62.193405539893128</v>
      </c>
      <c r="F722" cm="1">
        <f t="array" aca="1" ref="F722" ca="1">INDEX($O$2:$O$34,INT(A722/$Z$1)+1)</f>
        <v>63.426171335778726</v>
      </c>
      <c r="G722" cm="1">
        <f t="array" aca="1" ref="G722" ca="1">INDEX($O$2:$O$34,INT(A722/$Z$1)+2)</f>
        <v>60.928385450259839</v>
      </c>
      <c r="H722">
        <f t="shared" ca="1" si="91"/>
        <v>-7.805580892246522E-2</v>
      </c>
      <c r="I722">
        <f t="shared" ca="1" si="92"/>
        <v>-1.2488929427594435</v>
      </c>
      <c r="J722" s="3">
        <f t="shared" ca="1" si="93"/>
        <v>62.177278393019279</v>
      </c>
      <c r="K722" s="3">
        <f t="shared" ca="1" si="94"/>
        <v>1.6127146873849085E-2</v>
      </c>
      <c r="L722" s="3"/>
    </row>
    <row r="723" spans="1:12" x14ac:dyDescent="0.3">
      <c r="A723">
        <v>721</v>
      </c>
      <c r="B723" s="2">
        <f t="shared" si="88"/>
        <v>23874.172185430463</v>
      </c>
      <c r="C723" s="2">
        <f t="shared" si="89"/>
        <v>3.4496944908228794E-3</v>
      </c>
      <c r="D723" s="2">
        <f t="shared" si="90"/>
        <v>16.730742384657731</v>
      </c>
      <c r="E723" s="3">
        <f t="shared" si="95"/>
        <v>62.115336292383915</v>
      </c>
      <c r="F723" cm="1">
        <f t="array" aca="1" ref="F723" ca="1">INDEX($O$2:$O$34,INT(A723/$Z$1)+1)</f>
        <v>63.426171335778726</v>
      </c>
      <c r="G723" cm="1">
        <f t="array" aca="1" ref="G723" ca="1">INDEX($O$2:$O$34,INT(A723/$Z$1)+2)</f>
        <v>60.928385450259839</v>
      </c>
      <c r="H723">
        <f t="shared" ca="1" si="91"/>
        <v>-7.805580892246522E-2</v>
      </c>
      <c r="I723">
        <f t="shared" ca="1" si="92"/>
        <v>-1.3269487516819087</v>
      </c>
      <c r="J723" s="3">
        <f t="shared" ca="1" si="93"/>
        <v>62.099222584096815</v>
      </c>
      <c r="K723" s="3">
        <f t="shared" ca="1" si="94"/>
        <v>1.6113708287100792E-2</v>
      </c>
      <c r="L723" s="3"/>
    </row>
    <row r="724" spans="1:12" x14ac:dyDescent="0.3">
      <c r="A724">
        <v>722</v>
      </c>
      <c r="B724" s="2">
        <f t="shared" si="88"/>
        <v>23986.710963455149</v>
      </c>
      <c r="C724" s="2">
        <f t="shared" si="89"/>
        <v>3.4502115491047824E-3</v>
      </c>
      <c r="D724" s="2">
        <f t="shared" si="90"/>
        <v>16.687300051780142</v>
      </c>
      <c r="E724" s="3">
        <f t="shared" si="95"/>
        <v>62.037140093204258</v>
      </c>
      <c r="F724" cm="1">
        <f t="array" aca="1" ref="F724" ca="1">INDEX($O$2:$O$34,INT(A724/$Z$1)+1)</f>
        <v>63.426171335778726</v>
      </c>
      <c r="G724" cm="1">
        <f t="array" aca="1" ref="G724" ca="1">INDEX($O$2:$O$34,INT(A724/$Z$1)+2)</f>
        <v>60.928385450259839</v>
      </c>
      <c r="H724">
        <f t="shared" ca="1" si="91"/>
        <v>-7.805580892246522E-2</v>
      </c>
      <c r="I724">
        <f t="shared" ca="1" si="92"/>
        <v>-1.405004560604374</v>
      </c>
      <c r="J724" s="3">
        <f t="shared" ca="1" si="93"/>
        <v>62.021166775174351</v>
      </c>
      <c r="K724" s="3">
        <f t="shared" ca="1" si="94"/>
        <v>1.5973318029907091E-2</v>
      </c>
      <c r="L724" s="3"/>
    </row>
    <row r="725" spans="1:12" x14ac:dyDescent="0.3">
      <c r="A725">
        <v>723</v>
      </c>
      <c r="B725" s="2">
        <f t="shared" si="88"/>
        <v>24100</v>
      </c>
      <c r="C725" s="2">
        <f t="shared" si="89"/>
        <v>3.4507296100159401E-3</v>
      </c>
      <c r="D725" s="2">
        <f t="shared" si="90"/>
        <v>16.643786536459686</v>
      </c>
      <c r="E725" s="3">
        <f t="shared" si="95"/>
        <v>61.958815765627435</v>
      </c>
      <c r="F725" cm="1">
        <f t="array" aca="1" ref="F725" ca="1">INDEX($O$2:$O$34,INT(A725/$Z$1)+1)</f>
        <v>63.426171335778726</v>
      </c>
      <c r="G725" cm="1">
        <f t="array" aca="1" ref="G725" ca="1">INDEX($O$2:$O$34,INT(A725/$Z$1)+2)</f>
        <v>60.928385450259839</v>
      </c>
      <c r="H725">
        <f t="shared" ca="1" si="91"/>
        <v>-7.805580892246522E-2</v>
      </c>
      <c r="I725">
        <f t="shared" ca="1" si="92"/>
        <v>-1.4830603695268392</v>
      </c>
      <c r="J725" s="3">
        <f t="shared" ca="1" si="93"/>
        <v>61.943110966251886</v>
      </c>
      <c r="K725" s="3">
        <f t="shared" ca="1" si="94"/>
        <v>1.5704799375548362E-2</v>
      </c>
      <c r="L725" s="3"/>
    </row>
    <row r="726" spans="1:12" x14ac:dyDescent="0.3">
      <c r="A726">
        <v>724</v>
      </c>
      <c r="B726" s="2">
        <f t="shared" si="88"/>
        <v>24214.046822742475</v>
      </c>
      <c r="C726" s="2">
        <f t="shared" si="89"/>
        <v>3.4512486822432437E-3</v>
      </c>
      <c r="D726" s="2">
        <f t="shared" si="90"/>
        <v>16.600201179365513</v>
      </c>
      <c r="E726" s="3">
        <f t="shared" si="95"/>
        <v>61.880362122857925</v>
      </c>
      <c r="F726" cm="1">
        <f t="array" aca="1" ref="F726" ca="1">INDEX($O$2:$O$34,INT(A726/$Z$1)+1)</f>
        <v>63.426171335778726</v>
      </c>
      <c r="G726" cm="1">
        <f t="array" aca="1" ref="G726" ca="1">INDEX($O$2:$O$34,INT(A726/$Z$1)+2)</f>
        <v>60.928385450259839</v>
      </c>
      <c r="H726">
        <f t="shared" ca="1" si="91"/>
        <v>-7.805580892246522E-2</v>
      </c>
      <c r="I726">
        <f t="shared" ca="1" si="92"/>
        <v>-1.5611161784493044</v>
      </c>
      <c r="J726" s="3">
        <f t="shared" ca="1" si="93"/>
        <v>61.865055157329422</v>
      </c>
      <c r="K726" s="3">
        <f t="shared" ca="1" si="94"/>
        <v>1.5306965528502303E-2</v>
      </c>
      <c r="L726" s="3"/>
    </row>
    <row r="727" spans="1:12" x14ac:dyDescent="0.3">
      <c r="A727">
        <v>725</v>
      </c>
      <c r="B727" s="2">
        <f t="shared" si="88"/>
        <v>24328.859060402683</v>
      </c>
      <c r="C727" s="2">
        <f t="shared" si="89"/>
        <v>3.4517687745526161E-3</v>
      </c>
      <c r="D727" s="2">
        <f t="shared" si="90"/>
        <v>16.556543315494878</v>
      </c>
      <c r="E727" s="3">
        <f t="shared" si="95"/>
        <v>61.801777967890779</v>
      </c>
      <c r="F727" cm="1">
        <f t="array" aca="1" ref="F727" ca="1">INDEX($O$2:$O$34,INT(A727/$Z$1)+1)</f>
        <v>63.426171335778726</v>
      </c>
      <c r="G727" cm="1">
        <f t="array" aca="1" ref="G727" ca="1">INDEX($O$2:$O$34,INT(A727/$Z$1)+2)</f>
        <v>60.928385450259839</v>
      </c>
      <c r="H727">
        <f t="shared" ca="1" si="91"/>
        <v>-7.805580892246522E-2</v>
      </c>
      <c r="I727">
        <f t="shared" ca="1" si="92"/>
        <v>-1.6391719873717696</v>
      </c>
      <c r="J727" s="3">
        <f t="shared" ca="1" si="93"/>
        <v>61.786999348406958</v>
      </c>
      <c r="K727" s="3">
        <f t="shared" ca="1" si="94"/>
        <v>1.4778619483820421E-2</v>
      </c>
      <c r="L727" s="3"/>
    </row>
    <row r="728" spans="1:12" x14ac:dyDescent="0.3">
      <c r="A728">
        <v>726</v>
      </c>
      <c r="B728" s="2">
        <f t="shared" si="88"/>
        <v>24444.444444444445</v>
      </c>
      <c r="C728" s="2">
        <f t="shared" si="89"/>
        <v>3.4522898957901203E-3</v>
      </c>
      <c r="D728" s="2">
        <f t="shared" si="90"/>
        <v>16.512812274092539</v>
      </c>
      <c r="E728" s="3">
        <f t="shared" si="95"/>
        <v>61.723062093366572</v>
      </c>
      <c r="F728" cm="1">
        <f t="array" aca="1" ref="F728" ca="1">INDEX($O$2:$O$34,INT(A728/$Z$1)+1)</f>
        <v>63.426171335778726</v>
      </c>
      <c r="G728" cm="1">
        <f t="array" aca="1" ref="G728" ca="1">INDEX($O$2:$O$34,INT(A728/$Z$1)+2)</f>
        <v>60.928385450259839</v>
      </c>
      <c r="H728">
        <f t="shared" ca="1" si="91"/>
        <v>-7.805580892246522E-2</v>
      </c>
      <c r="I728">
        <f t="shared" ca="1" si="92"/>
        <v>-1.7172277962942348</v>
      </c>
      <c r="J728" s="3">
        <f t="shared" ca="1" si="93"/>
        <v>61.708943539484494</v>
      </c>
      <c r="K728" s="3">
        <f t="shared" ca="1" si="94"/>
        <v>1.4118553882077833E-2</v>
      </c>
      <c r="L728" s="3"/>
    </row>
    <row r="729" spans="1:12" x14ac:dyDescent="0.3">
      <c r="A729">
        <v>727</v>
      </c>
      <c r="B729" s="2">
        <f t="shared" si="88"/>
        <v>24560.81081081081</v>
      </c>
      <c r="C729" s="2">
        <f t="shared" si="89"/>
        <v>3.4528120548830872E-3</v>
      </c>
      <c r="D729" s="2">
        <f t="shared" si="90"/>
        <v>16.469007378569927</v>
      </c>
      <c r="E729" s="3">
        <f t="shared" si="95"/>
        <v>61.64421328142587</v>
      </c>
      <c r="F729" cm="1">
        <f t="array" aca="1" ref="F729" ca="1">INDEX($O$2:$O$34,INT(A729/$Z$1)+1)</f>
        <v>63.426171335778726</v>
      </c>
      <c r="G729" cm="1">
        <f t="array" aca="1" ref="G729" ca="1">INDEX($O$2:$O$34,INT(A729/$Z$1)+2)</f>
        <v>60.928385450259839</v>
      </c>
      <c r="H729">
        <f t="shared" ca="1" si="91"/>
        <v>-7.805580892246522E-2</v>
      </c>
      <c r="I729">
        <f t="shared" ca="1" si="92"/>
        <v>-1.7952836052167001</v>
      </c>
      <c r="J729" s="3">
        <f t="shared" ca="1" si="93"/>
        <v>61.630887730562023</v>
      </c>
      <c r="K729" s="3">
        <f t="shared" ca="1" si="94"/>
        <v>1.3325550863847013E-2</v>
      </c>
      <c r="L729" s="3"/>
    </row>
    <row r="730" spans="1:12" x14ac:dyDescent="0.3">
      <c r="A730">
        <v>728</v>
      </c>
      <c r="B730" s="2">
        <f t="shared" si="88"/>
        <v>24677.966101694914</v>
      </c>
      <c r="C730" s="2">
        <f t="shared" si="89"/>
        <v>3.453335260841258E-3</v>
      </c>
      <c r="D730" s="2">
        <f t="shared" si="90"/>
        <v>16.425127946422663</v>
      </c>
      <c r="E730" s="3">
        <f t="shared" si="95"/>
        <v>61.565230303560796</v>
      </c>
      <c r="F730" cm="1">
        <f t="array" aca="1" ref="F730" ca="1">INDEX($O$2:$O$34,INT(A730/$Z$1)+1)</f>
        <v>63.426171335778726</v>
      </c>
      <c r="G730" cm="1">
        <f t="array" aca="1" ref="G730" ca="1">INDEX($O$2:$O$34,INT(A730/$Z$1)+2)</f>
        <v>60.928385450259839</v>
      </c>
      <c r="H730">
        <f t="shared" ca="1" si="91"/>
        <v>-7.805580892246522E-2</v>
      </c>
      <c r="I730">
        <f t="shared" ca="1" si="92"/>
        <v>-1.8733394141391653</v>
      </c>
      <c r="J730" s="3">
        <f t="shared" ca="1" si="93"/>
        <v>61.552831921639559</v>
      </c>
      <c r="K730" s="3">
        <f t="shared" ca="1" si="94"/>
        <v>1.2398381921236989E-2</v>
      </c>
      <c r="L730" s="3"/>
    </row>
    <row r="731" spans="1:12" x14ac:dyDescent="0.3">
      <c r="A731">
        <v>729</v>
      </c>
      <c r="B731" s="2">
        <f t="shared" si="88"/>
        <v>24795.918367346938</v>
      </c>
      <c r="C731" s="2">
        <f t="shared" si="89"/>
        <v>3.4538595227579525E-3</v>
      </c>
      <c r="D731" s="2">
        <f t="shared" si="90"/>
        <v>16.381173289146091</v>
      </c>
      <c r="E731" s="3">
        <f t="shared" si="95"/>
        <v>61.48611192046296</v>
      </c>
      <c r="F731" cm="1">
        <f t="array" aca="1" ref="F731" ca="1">INDEX($O$2:$O$34,INT(A731/$Z$1)+1)</f>
        <v>63.426171335778726</v>
      </c>
      <c r="G731" cm="1">
        <f t="array" aca="1" ref="G731" ca="1">INDEX($O$2:$O$34,INT(A731/$Z$1)+2)</f>
        <v>60.928385450259839</v>
      </c>
      <c r="H731">
        <f t="shared" ca="1" si="91"/>
        <v>-7.805580892246522E-2</v>
      </c>
      <c r="I731">
        <f t="shared" ca="1" si="92"/>
        <v>-1.9513952230616305</v>
      </c>
      <c r="J731" s="3">
        <f t="shared" ca="1" si="93"/>
        <v>61.474776112717095</v>
      </c>
      <c r="K731" s="3">
        <f t="shared" ca="1" si="94"/>
        <v>1.1335807745865623E-2</v>
      </c>
      <c r="L731" s="3"/>
    </row>
    <row r="732" spans="1:12" x14ac:dyDescent="0.3">
      <c r="A732">
        <v>730</v>
      </c>
      <c r="B732" s="2">
        <f t="shared" si="88"/>
        <v>24914.675767918088</v>
      </c>
      <c r="C732" s="2">
        <f t="shared" si="89"/>
        <v>3.4543848498112509E-3</v>
      </c>
      <c r="D732" s="2">
        <f t="shared" si="90"/>
        <v>16.337142712150467</v>
      </c>
      <c r="E732" s="3">
        <f t="shared" si="95"/>
        <v>61.406856881870837</v>
      </c>
      <c r="F732" cm="1">
        <f t="array" aca="1" ref="F732" ca="1">INDEX($O$2:$O$34,INT(A732/$Z$1)+1)</f>
        <v>63.426171335778726</v>
      </c>
      <c r="G732" cm="1">
        <f t="array" aca="1" ref="G732" ca="1">INDEX($O$2:$O$34,INT(A732/$Z$1)+2)</f>
        <v>60.928385450259839</v>
      </c>
      <c r="H732">
        <f t="shared" ca="1" si="91"/>
        <v>-7.805580892246522E-2</v>
      </c>
      <c r="I732">
        <f t="shared" ca="1" si="92"/>
        <v>-2.0294510319840957</v>
      </c>
      <c r="J732" s="3">
        <f t="shared" ca="1" si="93"/>
        <v>61.396720303794631</v>
      </c>
      <c r="K732" s="3">
        <f t="shared" ca="1" si="94"/>
        <v>1.0136578076206604E-2</v>
      </c>
      <c r="L732" s="3"/>
    </row>
    <row r="733" spans="1:12" x14ac:dyDescent="0.3">
      <c r="A733">
        <v>731</v>
      </c>
      <c r="B733" s="2">
        <f t="shared" si="88"/>
        <v>25034.246575342466</v>
      </c>
      <c r="C733" s="2">
        <f t="shared" si="89"/>
        <v>3.4549112512651994E-3</v>
      </c>
      <c r="D733" s="2">
        <f t="shared" si="90"/>
        <v>16.293035514674045</v>
      </c>
      <c r="E733" s="3">
        <f t="shared" si="95"/>
        <v>61.32746392641328</v>
      </c>
      <c r="F733" cm="1">
        <f t="array" aca="1" ref="F733" ca="1">INDEX($O$2:$O$34,INT(A733/$Z$1)+1)</f>
        <v>63.426171335778726</v>
      </c>
      <c r="G733" cm="1">
        <f t="array" aca="1" ref="G733" ca="1">INDEX($O$2:$O$34,INT(A733/$Z$1)+2)</f>
        <v>60.928385450259839</v>
      </c>
      <c r="H733">
        <f t="shared" ca="1" si="91"/>
        <v>-7.805580892246522E-2</v>
      </c>
      <c r="I733">
        <f t="shared" ca="1" si="92"/>
        <v>-2.1075068409065612</v>
      </c>
      <c r="J733" s="3">
        <f t="shared" ca="1" si="93"/>
        <v>61.318664494872166</v>
      </c>
      <c r="K733" s="3">
        <f t="shared" ca="1" si="94"/>
        <v>8.7994315411137336E-3</v>
      </c>
      <c r="L733" s="3"/>
    </row>
    <row r="734" spans="1:12" x14ac:dyDescent="0.3">
      <c r="A734">
        <v>732</v>
      </c>
      <c r="B734" s="2">
        <f t="shared" si="88"/>
        <v>25154.639175257733</v>
      </c>
      <c r="C734" s="2">
        <f t="shared" si="89"/>
        <v>3.4554387364710329E-3</v>
      </c>
      <c r="D734" s="2">
        <f t="shared" si="90"/>
        <v>16.248850989694915</v>
      </c>
      <c r="E734" s="3">
        <f t="shared" si="95"/>
        <v>61.247931781450845</v>
      </c>
      <c r="F734" cm="1">
        <f t="array" aca="1" ref="F734" ca="1">INDEX($O$2:$O$34,INT(A734/$Z$1)+1)</f>
        <v>63.426171335778726</v>
      </c>
      <c r="G734" cm="1">
        <f t="array" aca="1" ref="G734" ca="1">INDEX($O$2:$O$34,INT(A734/$Z$1)+2)</f>
        <v>60.928385450259839</v>
      </c>
      <c r="H734">
        <f t="shared" ca="1" si="91"/>
        <v>-7.805580892246522E-2</v>
      </c>
      <c r="I734">
        <f t="shared" ca="1" si="92"/>
        <v>-2.1855626498290261</v>
      </c>
      <c r="J734" s="3">
        <f t="shared" ca="1" si="93"/>
        <v>61.240608685949702</v>
      </c>
      <c r="K734" s="3">
        <f t="shared" ca="1" si="94"/>
        <v>7.3230955011425181E-3</v>
      </c>
      <c r="L734" s="3"/>
    </row>
    <row r="735" spans="1:12" x14ac:dyDescent="0.3">
      <c r="A735">
        <v>733</v>
      </c>
      <c r="B735" s="2">
        <f t="shared" si="88"/>
        <v>25275.862068965518</v>
      </c>
      <c r="C735" s="2">
        <f t="shared" si="89"/>
        <v>3.455967314868422E-3</v>
      </c>
      <c r="D735" s="2">
        <f t="shared" si="90"/>
        <v>16.204588423841244</v>
      </c>
      <c r="E735" s="3">
        <f t="shared" si="95"/>
        <v>61.168259162914239</v>
      </c>
      <c r="F735" cm="1">
        <f t="array" aca="1" ref="F735" ca="1">INDEX($O$2:$O$34,INT(A735/$Z$1)+1)</f>
        <v>63.426171335778726</v>
      </c>
      <c r="G735" cm="1">
        <f t="array" aca="1" ref="G735" ca="1">INDEX($O$2:$O$34,INT(A735/$Z$1)+2)</f>
        <v>60.928385450259839</v>
      </c>
      <c r="H735">
        <f t="shared" ca="1" si="91"/>
        <v>-7.805580892246522E-2</v>
      </c>
      <c r="I735">
        <f t="shared" ca="1" si="92"/>
        <v>-2.2636184587514911</v>
      </c>
      <c r="J735" s="3">
        <f t="shared" ca="1" si="93"/>
        <v>61.162552877027238</v>
      </c>
      <c r="K735" s="3">
        <f t="shared" ca="1" si="94"/>
        <v>5.7062858870011723E-3</v>
      </c>
      <c r="L735" s="3"/>
    </row>
    <row r="736" spans="1:12" x14ac:dyDescent="0.3">
      <c r="A736">
        <v>734</v>
      </c>
      <c r="B736" s="2">
        <f t="shared" si="88"/>
        <v>25397.923875432527</v>
      </c>
      <c r="C736" s="2">
        <f t="shared" si="89"/>
        <v>3.4564969959867387E-3</v>
      </c>
      <c r="D736" s="2">
        <f t="shared" si="90"/>
        <v>16.160247097300442</v>
      </c>
      <c r="E736" s="3">
        <f t="shared" si="95"/>
        <v>61.088444775140793</v>
      </c>
      <c r="F736" cm="1">
        <f t="array" aca="1" ref="F736" ca="1">INDEX($O$2:$O$34,INT(A736/$Z$1)+1)</f>
        <v>63.426171335778726</v>
      </c>
      <c r="G736" cm="1">
        <f t="array" aca="1" ref="G736" ca="1">INDEX($O$2:$O$34,INT(A736/$Z$1)+2)</f>
        <v>60.928385450259839</v>
      </c>
      <c r="H736">
        <f t="shared" ca="1" si="91"/>
        <v>-7.805580892246522E-2</v>
      </c>
      <c r="I736">
        <f t="shared" ca="1" si="92"/>
        <v>-2.3416742676739566</v>
      </c>
      <c r="J736" s="3">
        <f t="shared" ca="1" si="93"/>
        <v>61.084497068104767</v>
      </c>
      <c r="K736" s="3">
        <f t="shared" ca="1" si="94"/>
        <v>3.9477070360263156E-3</v>
      </c>
      <c r="L736" s="3"/>
    </row>
    <row r="737" spans="1:12" x14ac:dyDescent="0.3">
      <c r="A737">
        <v>735</v>
      </c>
      <c r="B737" s="2">
        <f t="shared" si="88"/>
        <v>25520.833333333332</v>
      </c>
      <c r="C737" s="2">
        <f t="shared" si="89"/>
        <v>3.4570277894463439E-3</v>
      </c>
      <c r="D737" s="2">
        <f t="shared" si="90"/>
        <v>16.115826283726165</v>
      </c>
      <c r="E737" s="3">
        <f t="shared" si="95"/>
        <v>61.008487310707096</v>
      </c>
      <c r="F737" cm="1">
        <f t="array" aca="1" ref="F737" ca="1">INDEX($O$2:$O$34,INT(A737/$Z$1)+1)</f>
        <v>63.426171335778726</v>
      </c>
      <c r="G737" cm="1">
        <f t="array" aca="1" ref="G737" ca="1">INDEX($O$2:$O$34,INT(A737/$Z$1)+2)</f>
        <v>60.928385450259839</v>
      </c>
      <c r="H737">
        <f t="shared" ca="1" si="91"/>
        <v>-7.805580892246522E-2</v>
      </c>
      <c r="I737">
        <f t="shared" ca="1" si="92"/>
        <v>-2.419730076596422</v>
      </c>
      <c r="J737" s="3">
        <f t="shared" ca="1" si="93"/>
        <v>61.006441259182303</v>
      </c>
      <c r="K737" s="3">
        <f t="shared" ca="1" si="94"/>
        <v>2.0460515247933131E-3</v>
      </c>
      <c r="L737" s="3"/>
    </row>
    <row r="738" spans="1:12" x14ac:dyDescent="0.3">
      <c r="A738">
        <v>736</v>
      </c>
      <c r="B738" s="2">
        <f t="shared" si="88"/>
        <v>25644.599303135888</v>
      </c>
      <c r="C738" s="2">
        <f t="shared" si="89"/>
        <v>3.4575597049598989E-3</v>
      </c>
      <c r="D738" s="2">
        <f t="shared" si="90"/>
        <v>16.071325250144355</v>
      </c>
      <c r="E738" s="3">
        <f t="shared" si="95"/>
        <v>60.928385450259839</v>
      </c>
      <c r="F738" cm="1">
        <f t="array" aca="1" ref="F738" ca="1">INDEX($O$2:$O$34,INT(A738/$Z$1)+1)</f>
        <v>60.928385450259839</v>
      </c>
      <c r="G738" cm="1">
        <f t="array" aca="1" ref="G738" ca="1">INDEX($O$2:$O$34,INT(A738/$Z$1)+2)</f>
        <v>58.280293853851425</v>
      </c>
      <c r="H738">
        <f t="shared" ca="1" si="91"/>
        <v>-8.2752862387762915E-2</v>
      </c>
      <c r="I738">
        <f t="shared" ca="1" si="92"/>
        <v>0</v>
      </c>
      <c r="J738" s="3">
        <f t="shared" ca="1" si="93"/>
        <v>60.928385450259839</v>
      </c>
      <c r="K738" s="3">
        <f t="shared" ca="1" si="94"/>
        <v>0</v>
      </c>
      <c r="L738" s="3"/>
    </row>
    <row r="739" spans="1:12" x14ac:dyDescent="0.3">
      <c r="A739">
        <v>737</v>
      </c>
      <c r="B739" s="2">
        <f t="shared" si="88"/>
        <v>25769.23076923077</v>
      </c>
      <c r="C739" s="2">
        <f t="shared" si="89"/>
        <v>3.4580927523336969E-3</v>
      </c>
      <c r="D739" s="2">
        <f t="shared" si="90"/>
        <v>16.026743256857173</v>
      </c>
      <c r="E739" s="3">
        <f t="shared" si="95"/>
        <v>60.848137862342909</v>
      </c>
      <c r="F739" cm="1">
        <f t="array" aca="1" ref="F739" ca="1">INDEX($O$2:$O$34,INT(A739/$Z$1)+1)</f>
        <v>60.928385450259839</v>
      </c>
      <c r="G739" cm="1">
        <f t="array" aca="1" ref="G739" ca="1">INDEX($O$2:$O$34,INT(A739/$Z$1)+2)</f>
        <v>58.280293853851425</v>
      </c>
      <c r="H739">
        <f t="shared" ca="1" si="91"/>
        <v>-8.2752862387762915E-2</v>
      </c>
      <c r="I739">
        <f t="shared" ca="1" si="92"/>
        <v>-8.2752862387762915E-2</v>
      </c>
      <c r="J739" s="3">
        <f t="shared" ca="1" si="93"/>
        <v>60.845632587872075</v>
      </c>
      <c r="K739" s="3">
        <f t="shared" ca="1" si="94"/>
        <v>2.5052744708347063E-3</v>
      </c>
      <c r="L739" s="3"/>
    </row>
    <row r="740" spans="1:12" x14ac:dyDescent="0.3">
      <c r="A740">
        <v>738</v>
      </c>
      <c r="B740" s="2">
        <f t="shared" si="88"/>
        <v>25894.736842105263</v>
      </c>
      <c r="C740" s="2">
        <f t="shared" si="89"/>
        <v>3.4586269414690193E-3</v>
      </c>
      <c r="D740" s="2">
        <f t="shared" si="90"/>
        <v>15.982079557345799</v>
      </c>
      <c r="E740" s="3">
        <f t="shared" si="95"/>
        <v>60.767743203222437</v>
      </c>
      <c r="F740" cm="1">
        <f t="array" aca="1" ref="F740" ca="1">INDEX($O$2:$O$34,INT(A740/$Z$1)+1)</f>
        <v>60.928385450259839</v>
      </c>
      <c r="G740" cm="1">
        <f t="array" aca="1" ref="G740" ca="1">INDEX($O$2:$O$34,INT(A740/$Z$1)+2)</f>
        <v>58.280293853851425</v>
      </c>
      <c r="H740">
        <f t="shared" ca="1" si="91"/>
        <v>-8.2752862387762915E-2</v>
      </c>
      <c r="I740">
        <f t="shared" ca="1" si="92"/>
        <v>-0.16550572477552583</v>
      </c>
      <c r="J740" s="3">
        <f t="shared" ca="1" si="93"/>
        <v>60.762879725484311</v>
      </c>
      <c r="K740" s="3">
        <f t="shared" ca="1" si="94"/>
        <v>4.8634777381266758E-3</v>
      </c>
      <c r="L740" s="3"/>
    </row>
    <row r="741" spans="1:12" x14ac:dyDescent="0.3">
      <c r="A741">
        <v>739</v>
      </c>
      <c r="B741" s="2">
        <f t="shared" si="88"/>
        <v>26021.12676056338</v>
      </c>
      <c r="C741" s="2">
        <f t="shared" si="89"/>
        <v>3.4591622823635145E-3</v>
      </c>
      <c r="D741" s="2">
        <f t="shared" si="90"/>
        <v>15.937333398171177</v>
      </c>
      <c r="E741" s="3">
        <f t="shared" si="95"/>
        <v>60.687200116708119</v>
      </c>
      <c r="F741" cm="1">
        <f t="array" aca="1" ref="F741" ca="1">INDEX($O$2:$O$34,INT(A741/$Z$1)+1)</f>
        <v>60.928385450259839</v>
      </c>
      <c r="G741" cm="1">
        <f t="array" aca="1" ref="G741" ca="1">INDEX($O$2:$O$34,INT(A741/$Z$1)+2)</f>
        <v>58.280293853851425</v>
      </c>
      <c r="H741">
        <f t="shared" ca="1" si="91"/>
        <v>-8.2752862387762915E-2</v>
      </c>
      <c r="I741">
        <f t="shared" ca="1" si="92"/>
        <v>-0.24825858716328875</v>
      </c>
      <c r="J741" s="3">
        <f t="shared" ca="1" si="93"/>
        <v>60.680126863096547</v>
      </c>
      <c r="K741" s="3">
        <f t="shared" ca="1" si="94"/>
        <v>7.0732536115727385E-3</v>
      </c>
      <c r="L741" s="3"/>
    </row>
    <row r="742" spans="1:12" x14ac:dyDescent="0.3">
      <c r="A742">
        <v>740</v>
      </c>
      <c r="B742" s="2">
        <f t="shared" si="88"/>
        <v>26148.409893992932</v>
      </c>
      <c r="C742" s="2">
        <f t="shared" si="89"/>
        <v>3.4596987851126027E-3</v>
      </c>
      <c r="D742" s="2">
        <f t="shared" si="90"/>
        <v>15.892504018873183</v>
      </c>
      <c r="E742" s="3">
        <f t="shared" si="95"/>
        <v>60.606507233971726</v>
      </c>
      <c r="F742" cm="1">
        <f t="array" aca="1" ref="F742" ca="1">INDEX($O$2:$O$34,INT(A742/$Z$1)+1)</f>
        <v>60.928385450259839</v>
      </c>
      <c r="G742" cm="1">
        <f t="array" aca="1" ref="G742" ca="1">INDEX($O$2:$O$34,INT(A742/$Z$1)+2)</f>
        <v>58.280293853851425</v>
      </c>
      <c r="H742">
        <f t="shared" ca="1" si="91"/>
        <v>-8.2752862387762915E-2</v>
      </c>
      <c r="I742">
        <f t="shared" ca="1" si="92"/>
        <v>-0.33101144955105166</v>
      </c>
      <c r="J742" s="3">
        <f t="shared" ca="1" si="93"/>
        <v>60.59737400070879</v>
      </c>
      <c r="K742" s="3">
        <f t="shared" ca="1" si="94"/>
        <v>9.1332332629363577E-3</v>
      </c>
      <c r="L742" s="3"/>
    </row>
    <row r="743" spans="1:12" x14ac:dyDescent="0.3">
      <c r="A743">
        <v>741</v>
      </c>
      <c r="B743" s="2">
        <f t="shared" si="88"/>
        <v>26276.59574468085</v>
      </c>
      <c r="C743" s="2">
        <f t="shared" si="89"/>
        <v>3.4602364599109017E-3</v>
      </c>
      <c r="D743" s="2">
        <f t="shared" si="90"/>
        <v>15.847590651868131</v>
      </c>
      <c r="E743" s="3">
        <f t="shared" si="95"/>
        <v>60.525663173362638</v>
      </c>
      <c r="F743" cm="1">
        <f t="array" aca="1" ref="F743" ca="1">INDEX($O$2:$O$34,INT(A743/$Z$1)+1)</f>
        <v>60.928385450259839</v>
      </c>
      <c r="G743" cm="1">
        <f t="array" aca="1" ref="G743" ca="1">INDEX($O$2:$O$34,INT(A743/$Z$1)+2)</f>
        <v>58.280293853851425</v>
      </c>
      <c r="H743">
        <f t="shared" ca="1" si="91"/>
        <v>-8.2752862387762915E-2</v>
      </c>
      <c r="I743">
        <f t="shared" ca="1" si="92"/>
        <v>-0.41376431193881458</v>
      </c>
      <c r="J743" s="3">
        <f t="shared" ca="1" si="93"/>
        <v>60.514621138321026</v>
      </c>
      <c r="K743" s="3">
        <f t="shared" ca="1" si="94"/>
        <v>1.1042035041612053E-2</v>
      </c>
      <c r="L743" s="3"/>
    </row>
    <row r="744" spans="1:12" x14ac:dyDescent="0.3">
      <c r="A744">
        <v>742</v>
      </c>
      <c r="B744" s="2">
        <f t="shared" si="88"/>
        <v>26405.693950177934</v>
      </c>
      <c r="C744" s="2">
        <f t="shared" si="89"/>
        <v>3.4607753170536816E-3</v>
      </c>
      <c r="D744" s="2">
        <f t="shared" si="90"/>
        <v>15.802592522344526</v>
      </c>
      <c r="E744" s="3">
        <f t="shared" si="95"/>
        <v>60.444666540220148</v>
      </c>
      <c r="F744" cm="1">
        <f t="array" aca="1" ref="F744" ca="1">INDEX($O$2:$O$34,INT(A744/$Z$1)+1)</f>
        <v>60.928385450259839</v>
      </c>
      <c r="G744" cm="1">
        <f t="array" aca="1" ref="G744" ca="1">INDEX($O$2:$O$34,INT(A744/$Z$1)+2)</f>
        <v>58.280293853851425</v>
      </c>
      <c r="H744">
        <f t="shared" ca="1" si="91"/>
        <v>-8.2752862387762915E-2</v>
      </c>
      <c r="I744">
        <f t="shared" ca="1" si="92"/>
        <v>-0.49651717432657749</v>
      </c>
      <c r="J744" s="3">
        <f t="shared" ca="1" si="93"/>
        <v>60.431868275933262</v>
      </c>
      <c r="K744" s="3">
        <f t="shared" ca="1" si="94"/>
        <v>1.2798264286885797E-2</v>
      </c>
      <c r="L744" s="3"/>
    </row>
    <row r="745" spans="1:12" x14ac:dyDescent="0.3">
      <c r="A745">
        <v>743</v>
      </c>
      <c r="B745" s="2">
        <f t="shared" si="88"/>
        <v>26535.714285714286</v>
      </c>
      <c r="C745" s="2">
        <f t="shared" si="89"/>
        <v>3.4613153669383421E-3</v>
      </c>
      <c r="D745" s="2">
        <f t="shared" si="90"/>
        <v>15.75750884815676</v>
      </c>
      <c r="E745" s="3">
        <f t="shared" si="95"/>
        <v>60.363515926682169</v>
      </c>
      <c r="F745" cm="1">
        <f t="array" aca="1" ref="F745" ca="1">INDEX($O$2:$O$34,INT(A745/$Z$1)+1)</f>
        <v>60.928385450259839</v>
      </c>
      <c r="G745" cm="1">
        <f t="array" aca="1" ref="G745" ca="1">INDEX($O$2:$O$34,INT(A745/$Z$1)+2)</f>
        <v>58.280293853851425</v>
      </c>
      <c r="H745">
        <f t="shared" ca="1" si="91"/>
        <v>-8.2752862387762915E-2</v>
      </c>
      <c r="I745">
        <f t="shared" ca="1" si="92"/>
        <v>-0.57927003671434041</v>
      </c>
      <c r="J745" s="3">
        <f t="shared" ca="1" si="93"/>
        <v>60.349115413545498</v>
      </c>
      <c r="K745" s="3">
        <f t="shared" ca="1" si="94"/>
        <v>1.4400513136671123E-2</v>
      </c>
      <c r="L745" s="3"/>
    </row>
    <row r="746" spans="1:12" x14ac:dyDescent="0.3">
      <c r="A746">
        <v>744</v>
      </c>
      <c r="B746" s="2">
        <f t="shared" si="88"/>
        <v>26666.666666666668</v>
      </c>
      <c r="C746" s="2">
        <f t="shared" si="89"/>
        <v>3.461856620065918E-3</v>
      </c>
      <c r="D746" s="2">
        <f t="shared" si="90"/>
        <v>15.712338839717404</v>
      </c>
      <c r="E746" s="3">
        <f t="shared" si="95"/>
        <v>60.282209911491329</v>
      </c>
      <c r="F746" cm="1">
        <f t="array" aca="1" ref="F746" ca="1">INDEX($O$2:$O$34,INT(A746/$Z$1)+1)</f>
        <v>60.928385450259839</v>
      </c>
      <c r="G746" cm="1">
        <f t="array" aca="1" ref="G746" ca="1">INDEX($O$2:$O$34,INT(A746/$Z$1)+2)</f>
        <v>58.280293853851425</v>
      </c>
      <c r="H746">
        <f t="shared" ca="1" si="91"/>
        <v>-8.2752862387762915E-2</v>
      </c>
      <c r="I746">
        <f t="shared" ca="1" si="92"/>
        <v>-0.66202289910210332</v>
      </c>
      <c r="J746" s="3">
        <f t="shared" ca="1" si="93"/>
        <v>60.266362551157734</v>
      </c>
      <c r="K746" s="3">
        <f t="shared" ca="1" si="94"/>
        <v>1.5847360333594906E-2</v>
      </c>
      <c r="L746" s="3"/>
    </row>
    <row r="747" spans="1:12" x14ac:dyDescent="0.3">
      <c r="A747">
        <v>745</v>
      </c>
      <c r="B747" s="2">
        <f t="shared" si="88"/>
        <v>26798.561151079135</v>
      </c>
      <c r="C747" s="2">
        <f t="shared" si="89"/>
        <v>3.4623990870426107E-3</v>
      </c>
      <c r="D747" s="2">
        <f t="shared" si="90"/>
        <v>15.667081699887092</v>
      </c>
      <c r="E747" s="3">
        <f t="shared" si="95"/>
        <v>60.200747059796768</v>
      </c>
      <c r="F747" cm="1">
        <f t="array" aca="1" ref="F747" ca="1">INDEX($O$2:$O$34,INT(A747/$Z$1)+1)</f>
        <v>60.928385450259839</v>
      </c>
      <c r="G747" cm="1">
        <f t="array" aca="1" ref="G747" ca="1">INDEX($O$2:$O$34,INT(A747/$Z$1)+2)</f>
        <v>58.280293853851425</v>
      </c>
      <c r="H747">
        <f t="shared" ca="1" si="91"/>
        <v>-8.2752862387762915E-2</v>
      </c>
      <c r="I747">
        <f t="shared" ca="1" si="92"/>
        <v>-0.74477576148986624</v>
      </c>
      <c r="J747" s="3">
        <f t="shared" ca="1" si="93"/>
        <v>60.18360968876997</v>
      </c>
      <c r="K747" s="3">
        <f t="shared" ca="1" si="94"/>
        <v>1.7137371026798576E-2</v>
      </c>
      <c r="L747" s="3"/>
    </row>
    <row r="748" spans="1:12" x14ac:dyDescent="0.3">
      <c r="A748">
        <v>746</v>
      </c>
      <c r="B748" s="2">
        <f t="shared" si="88"/>
        <v>26931.407942238267</v>
      </c>
      <c r="C748" s="2">
        <f t="shared" si="89"/>
        <v>3.4629427785813458E-3</v>
      </c>
      <c r="D748" s="2">
        <f t="shared" si="90"/>
        <v>15.62173662386283</v>
      </c>
      <c r="E748" s="3">
        <f t="shared" si="95"/>
        <v>60.119125922953096</v>
      </c>
      <c r="F748" cm="1">
        <f t="array" aca="1" ref="F748" ca="1">INDEX($O$2:$O$34,INT(A748/$Z$1)+1)</f>
        <v>60.928385450259839</v>
      </c>
      <c r="G748" cm="1">
        <f t="array" aca="1" ref="G748" ca="1">INDEX($O$2:$O$34,INT(A748/$Z$1)+2)</f>
        <v>58.280293853851425</v>
      </c>
      <c r="H748">
        <f t="shared" ca="1" si="91"/>
        <v>-8.2752862387762915E-2</v>
      </c>
      <c r="I748">
        <f t="shared" ca="1" si="92"/>
        <v>-0.82752862387762915</v>
      </c>
      <c r="J748" s="3">
        <f t="shared" ca="1" si="93"/>
        <v>60.100856826382213</v>
      </c>
      <c r="K748" s="3">
        <f t="shared" ca="1" si="94"/>
        <v>1.8269096570882937E-2</v>
      </c>
      <c r="L748" s="3"/>
    </row>
    <row r="749" spans="1:12" x14ac:dyDescent="0.3">
      <c r="A749">
        <v>747</v>
      </c>
      <c r="B749" s="2">
        <f t="shared" si="88"/>
        <v>27065.217391304348</v>
      </c>
      <c r="C749" s="2">
        <f t="shared" si="89"/>
        <v>3.4634877055033609E-3</v>
      </c>
      <c r="D749" s="2">
        <f t="shared" si="90"/>
        <v>15.576302799064365</v>
      </c>
      <c r="E749" s="3">
        <f t="shared" si="95"/>
        <v>60.037345038315856</v>
      </c>
      <c r="F749" cm="1">
        <f t="array" aca="1" ref="F749" ca="1">INDEX($O$2:$O$34,INT(A749/$Z$1)+1)</f>
        <v>60.928385450259839</v>
      </c>
      <c r="G749" cm="1">
        <f t="array" aca="1" ref="G749" ca="1">INDEX($O$2:$O$34,INT(A749/$Z$1)+2)</f>
        <v>58.280293853851425</v>
      </c>
      <c r="H749">
        <f t="shared" ca="1" si="91"/>
        <v>-8.2752862387762915E-2</v>
      </c>
      <c r="I749">
        <f t="shared" ca="1" si="92"/>
        <v>-0.91028148626539207</v>
      </c>
      <c r="J749" s="3">
        <f t="shared" ca="1" si="93"/>
        <v>60.018103963994449</v>
      </c>
      <c r="K749" s="3">
        <f t="shared" ca="1" si="94"/>
        <v>1.924107432140687E-2</v>
      </c>
      <c r="L749" s="3"/>
    </row>
    <row r="750" spans="1:12" x14ac:dyDescent="0.3">
      <c r="A750">
        <v>748</v>
      </c>
      <c r="B750" s="2">
        <f t="shared" si="88"/>
        <v>27200</v>
      </c>
      <c r="C750" s="2">
        <f t="shared" si="89"/>
        <v>3.464033878739821E-3</v>
      </c>
      <c r="D750" s="2">
        <f t="shared" si="90"/>
        <v>15.530779405018279</v>
      </c>
      <c r="E750" s="3">
        <f t="shared" si="95"/>
        <v>59.9554029290329</v>
      </c>
      <c r="F750" cm="1">
        <f t="array" aca="1" ref="F750" ca="1">INDEX($O$2:$O$34,INT(A750/$Z$1)+1)</f>
        <v>60.928385450259839</v>
      </c>
      <c r="G750" cm="1">
        <f t="array" aca="1" ref="G750" ca="1">INDEX($O$2:$O$34,INT(A750/$Z$1)+2)</f>
        <v>58.280293853851425</v>
      </c>
      <c r="H750">
        <f t="shared" ca="1" si="91"/>
        <v>-8.2752862387762915E-2</v>
      </c>
      <c r="I750">
        <f t="shared" ca="1" si="92"/>
        <v>-0.99303434865315499</v>
      </c>
      <c r="J750" s="3">
        <f t="shared" ca="1" si="93"/>
        <v>59.935351101606685</v>
      </c>
      <c r="K750" s="3">
        <f t="shared" ca="1" si="94"/>
        <v>2.0051827426215141E-2</v>
      </c>
      <c r="L750" s="3"/>
    </row>
    <row r="751" spans="1:12" x14ac:dyDescent="0.3">
      <c r="A751">
        <v>749</v>
      </c>
      <c r="B751" s="2">
        <f t="shared" si="88"/>
        <v>27335.766423357665</v>
      </c>
      <c r="C751" s="2">
        <f t="shared" si="89"/>
        <v>3.4645813093334616E-3</v>
      </c>
      <c r="D751" s="2">
        <f t="shared" si="90"/>
        <v>15.485165613240156</v>
      </c>
      <c r="E751" s="3">
        <f t="shared" si="95"/>
        <v>59.873298103832283</v>
      </c>
      <c r="F751" cm="1">
        <f t="array" aca="1" ref="F751" ca="1">INDEX($O$2:$O$34,INT(A751/$Z$1)+1)</f>
        <v>60.928385450259839</v>
      </c>
      <c r="G751" cm="1">
        <f t="array" aca="1" ref="G751" ca="1">INDEX($O$2:$O$34,INT(A751/$Z$1)+2)</f>
        <v>58.280293853851425</v>
      </c>
      <c r="H751">
        <f t="shared" ca="1" si="91"/>
        <v>-8.2752862387762915E-2</v>
      </c>
      <c r="I751">
        <f t="shared" ca="1" si="92"/>
        <v>-1.0757872110409179</v>
      </c>
      <c r="J751" s="3">
        <f t="shared" ca="1" si="93"/>
        <v>59.852598239218921</v>
      </c>
      <c r="K751" s="3">
        <f t="shared" ca="1" si="94"/>
        <v>2.0699864613362706E-2</v>
      </c>
      <c r="L751" s="3"/>
    </row>
    <row r="752" spans="1:12" x14ac:dyDescent="0.3">
      <c r="A752">
        <v>750</v>
      </c>
      <c r="B752" s="2">
        <f t="shared" si="88"/>
        <v>27472.527472527472</v>
      </c>
      <c r="C752" s="2">
        <f t="shared" si="89"/>
        <v>3.4651300084402631E-3</v>
      </c>
      <c r="D752" s="2">
        <f t="shared" si="90"/>
        <v>15.439460587114809</v>
      </c>
      <c r="E752" s="3">
        <f t="shared" si="95"/>
        <v>59.791029056806657</v>
      </c>
      <c r="F752" cm="1">
        <f t="array" aca="1" ref="F752" ca="1">INDEX($O$2:$O$34,INT(A752/$Z$1)+1)</f>
        <v>60.928385450259839</v>
      </c>
      <c r="G752" cm="1">
        <f t="array" aca="1" ref="G752" ca="1">INDEX($O$2:$O$34,INT(A752/$Z$1)+2)</f>
        <v>58.280293853851425</v>
      </c>
      <c r="H752">
        <f t="shared" ca="1" si="91"/>
        <v>-8.2752862387762915E-2</v>
      </c>
      <c r="I752">
        <f t="shared" ca="1" si="92"/>
        <v>-1.1585400734286808</v>
      </c>
      <c r="J752" s="3">
        <f t="shared" ca="1" si="93"/>
        <v>59.769845376831157</v>
      </c>
      <c r="K752" s="3">
        <f t="shared" ca="1" si="94"/>
        <v>2.1183679975500525E-2</v>
      </c>
      <c r="L752" s="3"/>
    </row>
    <row r="753" spans="1:12" x14ac:dyDescent="0.3">
      <c r="A753">
        <v>751</v>
      </c>
      <c r="B753" s="2">
        <f t="shared" si="88"/>
        <v>27610.294117647059</v>
      </c>
      <c r="C753" s="2">
        <f t="shared" si="89"/>
        <v>3.4656799873311554E-3</v>
      </c>
      <c r="D753" s="2">
        <f t="shared" si="90"/>
        <v>15.393663481774126</v>
      </c>
      <c r="E753" s="3">
        <f t="shared" si="95"/>
        <v>59.708594267193426</v>
      </c>
      <c r="F753" cm="1">
        <f t="array" aca="1" ref="F753" ca="1">INDEX($O$2:$O$34,INT(A753/$Z$1)+1)</f>
        <v>60.928385450259839</v>
      </c>
      <c r="G753" cm="1">
        <f t="array" aca="1" ref="G753" ca="1">INDEX($O$2:$O$34,INT(A753/$Z$1)+2)</f>
        <v>58.280293853851425</v>
      </c>
      <c r="H753">
        <f t="shared" ca="1" si="91"/>
        <v>-8.2752862387762915E-2</v>
      </c>
      <c r="I753">
        <f t="shared" ca="1" si="92"/>
        <v>-1.2412929358164437</v>
      </c>
      <c r="J753" s="3">
        <f t="shared" ca="1" si="93"/>
        <v>59.687092514443393</v>
      </c>
      <c r="K753" s="3">
        <f t="shared" ca="1" si="94"/>
        <v>2.1501752750033631E-2</v>
      </c>
      <c r="L753" s="3"/>
    </row>
    <row r="754" spans="1:12" x14ac:dyDescent="0.3">
      <c r="A754">
        <v>752</v>
      </c>
      <c r="B754" s="2">
        <f t="shared" si="88"/>
        <v>27749.077490774907</v>
      </c>
      <c r="C754" s="2">
        <f t="shared" si="89"/>
        <v>3.4662312573937549E-3</v>
      </c>
      <c r="D754" s="2">
        <f t="shared" si="90"/>
        <v>15.347773443972699</v>
      </c>
      <c r="E754" s="3">
        <f t="shared" si="95"/>
        <v>59.625992199150858</v>
      </c>
      <c r="F754" cm="1">
        <f t="array" aca="1" ref="F754" ca="1">INDEX($O$2:$O$34,INT(A754/$Z$1)+1)</f>
        <v>60.928385450259839</v>
      </c>
      <c r="G754" cm="1">
        <f t="array" aca="1" ref="G754" ca="1">INDEX($O$2:$O$34,INT(A754/$Z$1)+2)</f>
        <v>58.280293853851425</v>
      </c>
      <c r="H754">
        <f t="shared" ca="1" si="91"/>
        <v>-8.2752862387762915E-2</v>
      </c>
      <c r="I754">
        <f t="shared" ca="1" si="92"/>
        <v>-1.3240457982042066</v>
      </c>
      <c r="J754" s="3">
        <f t="shared" ca="1" si="93"/>
        <v>59.604339652055629</v>
      </c>
      <c r="K754" s="3">
        <f t="shared" ca="1" si="94"/>
        <v>2.1652547095229124E-2</v>
      </c>
      <c r="L754" s="3"/>
    </row>
    <row r="755" spans="1:12" x14ac:dyDescent="0.3">
      <c r="A755">
        <v>753</v>
      </c>
      <c r="B755" s="2">
        <f t="shared" si="88"/>
        <v>27888.888888888891</v>
      </c>
      <c r="C755" s="2">
        <f t="shared" si="89"/>
        <v>3.4667838301341287E-3</v>
      </c>
      <c r="D755" s="2">
        <f t="shared" si="90"/>
        <v>15.301789611961567</v>
      </c>
      <c r="E755" s="3">
        <f t="shared" si="95"/>
        <v>59.543221301530821</v>
      </c>
      <c r="F755" cm="1">
        <f t="array" aca="1" ref="F755" ca="1">INDEX($O$2:$O$34,INT(A755/$Z$1)+1)</f>
        <v>60.928385450259839</v>
      </c>
      <c r="G755" cm="1">
        <f t="array" aca="1" ref="G755" ca="1">INDEX($O$2:$O$34,INT(A755/$Z$1)+2)</f>
        <v>58.280293853851425</v>
      </c>
      <c r="H755">
        <f t="shared" ca="1" si="91"/>
        <v>-8.2752862387762915E-2</v>
      </c>
      <c r="I755">
        <f t="shared" ca="1" si="92"/>
        <v>-1.4067986605919696</v>
      </c>
      <c r="J755" s="3">
        <f t="shared" ca="1" si="93"/>
        <v>59.521586789667872</v>
      </c>
      <c r="K755" s="3">
        <f t="shared" ca="1" si="94"/>
        <v>2.1634511862949068E-2</v>
      </c>
      <c r="L755" s="3"/>
    </row>
    <row r="756" spans="1:12" x14ac:dyDescent="0.3">
      <c r="A756">
        <v>754</v>
      </c>
      <c r="B756" s="2">
        <f t="shared" si="88"/>
        <v>28029.739776951672</v>
      </c>
      <c r="C756" s="2">
        <f t="shared" si="89"/>
        <v>3.4673377171785978E-3</v>
      </c>
      <c r="D756" s="2">
        <f t="shared" si="90"/>
        <v>15.255711115359304</v>
      </c>
      <c r="E756" s="3">
        <f t="shared" si="95"/>
        <v>59.460280007646745</v>
      </c>
      <c r="F756" cm="1">
        <f t="array" aca="1" ref="F756" ca="1">INDEX($O$2:$O$34,INT(A756/$Z$1)+1)</f>
        <v>60.928385450259839</v>
      </c>
      <c r="G756" cm="1">
        <f t="array" aca="1" ref="G756" ca="1">INDEX($O$2:$O$34,INT(A756/$Z$1)+2)</f>
        <v>58.280293853851425</v>
      </c>
      <c r="H756">
        <f t="shared" ca="1" si="91"/>
        <v>-8.2752862387762915E-2</v>
      </c>
      <c r="I756">
        <f t="shared" ca="1" si="92"/>
        <v>-1.4895515229797325</v>
      </c>
      <c r="J756" s="3">
        <f t="shared" ca="1" si="93"/>
        <v>59.438833927280108</v>
      </c>
      <c r="K756" s="3">
        <f t="shared" ca="1" si="94"/>
        <v>2.1446080366636977E-2</v>
      </c>
      <c r="L756" s="3"/>
    </row>
    <row r="757" spans="1:12" x14ac:dyDescent="0.3">
      <c r="A757">
        <v>755</v>
      </c>
      <c r="B757" s="2">
        <f t="shared" si="88"/>
        <v>28171.641791044774</v>
      </c>
      <c r="C757" s="2">
        <f t="shared" si="89"/>
        <v>3.4678929302755681E-3</v>
      </c>
      <c r="D757" s="2">
        <f t="shared" si="90"/>
        <v>15.209537075020762</v>
      </c>
      <c r="E757" s="3">
        <f t="shared" si="95"/>
        <v>59.37716673503737</v>
      </c>
      <c r="F757" cm="1">
        <f t="array" aca="1" ref="F757" ca="1">INDEX($O$2:$O$34,INT(A757/$Z$1)+1)</f>
        <v>60.928385450259839</v>
      </c>
      <c r="G757" cm="1">
        <f t="array" aca="1" ref="G757" ca="1">INDEX($O$2:$O$34,INT(A757/$Z$1)+2)</f>
        <v>58.280293853851425</v>
      </c>
      <c r="H757">
        <f t="shared" ca="1" si="91"/>
        <v>-8.2752862387762915E-2</v>
      </c>
      <c r="I757">
        <f t="shared" ca="1" si="92"/>
        <v>-1.5723043853674954</v>
      </c>
      <c r="J757" s="3">
        <f t="shared" ca="1" si="93"/>
        <v>59.356081064892344</v>
      </c>
      <c r="K757" s="3">
        <f t="shared" ca="1" si="94"/>
        <v>2.1085670145026825E-2</v>
      </c>
      <c r="L757" s="3"/>
    </row>
    <row r="758" spans="1:12" x14ac:dyDescent="0.3">
      <c r="A758">
        <v>756</v>
      </c>
      <c r="B758" s="2">
        <f t="shared" si="88"/>
        <v>28314.606741573032</v>
      </c>
      <c r="C758" s="2">
        <f t="shared" si="89"/>
        <v>3.4684494812973988E-3</v>
      </c>
      <c r="D758" s="2">
        <f t="shared" si="90"/>
        <v>15.163266602903718</v>
      </c>
      <c r="E758" s="3">
        <f t="shared" si="95"/>
        <v>59.293879885226694</v>
      </c>
      <c r="F758" cm="1">
        <f t="array" aca="1" ref="F758" ca="1">INDEX($O$2:$O$34,INT(A758/$Z$1)+1)</f>
        <v>60.928385450259839</v>
      </c>
      <c r="G758" cm="1">
        <f t="array" aca="1" ref="G758" ca="1">INDEX($O$2:$O$34,INT(A758/$Z$1)+2)</f>
        <v>58.280293853851425</v>
      </c>
      <c r="H758">
        <f t="shared" ca="1" si="91"/>
        <v>-8.2752862387762915E-2</v>
      </c>
      <c r="I758">
        <f t="shared" ca="1" si="92"/>
        <v>-1.6550572477552583</v>
      </c>
      <c r="J758" s="3">
        <f t="shared" ca="1" si="93"/>
        <v>59.27332820250458</v>
      </c>
      <c r="K758" s="3">
        <f t="shared" ca="1" si="94"/>
        <v>2.0551682722114606E-2</v>
      </c>
      <c r="L758" s="3"/>
    </row>
    <row r="759" spans="1:12" x14ac:dyDescent="0.3">
      <c r="A759">
        <v>757</v>
      </c>
      <c r="B759" s="2">
        <f t="shared" si="88"/>
        <v>28458.646616541355</v>
      </c>
      <c r="C759" s="2">
        <f t="shared" si="89"/>
        <v>3.4690073822423039E-3</v>
      </c>
      <c r="D759" s="2">
        <f t="shared" si="90"/>
        <v>15.116898801932791</v>
      </c>
      <c r="E759" s="3">
        <f t="shared" si="95"/>
        <v>59.210417843479021</v>
      </c>
      <c r="F759" cm="1">
        <f t="array" aca="1" ref="F759" ca="1">INDEX($O$2:$O$34,INT(A759/$Z$1)+1)</f>
        <v>60.928385450259839</v>
      </c>
      <c r="G759" cm="1">
        <f t="array" aca="1" ref="G759" ca="1">INDEX($O$2:$O$34,INT(A759/$Z$1)+2)</f>
        <v>58.280293853851425</v>
      </c>
      <c r="H759">
        <f t="shared" ca="1" si="91"/>
        <v>-8.2752862387762915E-2</v>
      </c>
      <c r="I759">
        <f t="shared" ca="1" si="92"/>
        <v>-1.7378101101430212</v>
      </c>
      <c r="J759" s="3">
        <f t="shared" ca="1" si="93"/>
        <v>59.190575340116816</v>
      </c>
      <c r="K759" s="3">
        <f t="shared" ca="1" si="94"/>
        <v>1.9842503362205832E-2</v>
      </c>
      <c r="L759" s="3"/>
    </row>
    <row r="760" spans="1:12" x14ac:dyDescent="0.3">
      <c r="A760">
        <v>758</v>
      </c>
      <c r="B760" s="2">
        <f t="shared" si="88"/>
        <v>28603.773584905659</v>
      </c>
      <c r="C760" s="2">
        <f t="shared" si="89"/>
        <v>3.4695666452362888E-3</v>
      </c>
      <c r="D760" s="2">
        <f t="shared" si="90"/>
        <v>15.070432765861142</v>
      </c>
      <c r="E760" s="3">
        <f t="shared" si="95"/>
        <v>59.126778978550057</v>
      </c>
      <c r="F760" cm="1">
        <f t="array" aca="1" ref="F760" ca="1">INDEX($O$2:$O$34,INT(A760/$Z$1)+1)</f>
        <v>60.928385450259839</v>
      </c>
      <c r="G760" cm="1">
        <f t="array" aca="1" ref="G760" ca="1">INDEX($O$2:$O$34,INT(A760/$Z$1)+2)</f>
        <v>58.280293853851425</v>
      </c>
      <c r="H760">
        <f t="shared" ca="1" si="91"/>
        <v>-8.2752862387762915E-2</v>
      </c>
      <c r="I760">
        <f t="shared" ca="1" si="92"/>
        <v>-1.8205629725307841</v>
      </c>
      <c r="J760" s="3">
        <f t="shared" ca="1" si="93"/>
        <v>59.107822477729052</v>
      </c>
      <c r="K760" s="3">
        <f t="shared" ca="1" si="94"/>
        <v>1.8956500821005307E-2</v>
      </c>
      <c r="L760" s="3"/>
    </row>
    <row r="761" spans="1:12" x14ac:dyDescent="0.3">
      <c r="A761">
        <v>759</v>
      </c>
      <c r="B761" s="2">
        <f t="shared" si="88"/>
        <v>28750</v>
      </c>
      <c r="C761" s="2">
        <f t="shared" si="89"/>
        <v>3.470127282535125E-3</v>
      </c>
      <c r="D761" s="2">
        <f t="shared" si="90"/>
        <v>15.023867579129046</v>
      </c>
      <c r="E761" s="3">
        <f t="shared" si="95"/>
        <v>59.042961642432282</v>
      </c>
      <c r="F761" cm="1">
        <f t="array" aca="1" ref="F761" ca="1">INDEX($O$2:$O$34,INT(A761/$Z$1)+1)</f>
        <v>60.928385450259839</v>
      </c>
      <c r="G761" cm="1">
        <f t="array" aca="1" ref="G761" ca="1">INDEX($O$2:$O$34,INT(A761/$Z$1)+2)</f>
        <v>58.280293853851425</v>
      </c>
      <c r="H761">
        <f t="shared" ca="1" si="91"/>
        <v>-8.2752862387762915E-2</v>
      </c>
      <c r="I761">
        <f t="shared" ca="1" si="92"/>
        <v>-1.9033158349185471</v>
      </c>
      <c r="J761" s="3">
        <f t="shared" ca="1" si="93"/>
        <v>59.025069615341295</v>
      </c>
      <c r="K761" s="3">
        <f t="shared" ca="1" si="94"/>
        <v>1.7892027090987028E-2</v>
      </c>
      <c r="L761" s="3"/>
    </row>
    <row r="762" spans="1:12" x14ac:dyDescent="0.3">
      <c r="A762">
        <v>760</v>
      </c>
      <c r="B762" s="2">
        <f t="shared" si="88"/>
        <v>28897.338403041824</v>
      </c>
      <c r="C762" s="2">
        <f t="shared" si="89"/>
        <v>3.4706893065263615E-3</v>
      </c>
      <c r="D762" s="2">
        <f t="shared" si="90"/>
        <v>14.977202316720707</v>
      </c>
      <c r="E762" s="3">
        <f t="shared" si="95"/>
        <v>58.958964170097275</v>
      </c>
      <c r="F762" cm="1">
        <f t="array" aca="1" ref="F762" ca="1">INDEX($O$2:$O$34,INT(A762/$Z$1)+1)</f>
        <v>60.928385450259839</v>
      </c>
      <c r="G762" cm="1">
        <f t="array" aca="1" ref="G762" ca="1">INDEX($O$2:$O$34,INT(A762/$Z$1)+2)</f>
        <v>58.280293853851425</v>
      </c>
      <c r="H762">
        <f t="shared" ca="1" si="91"/>
        <v>-8.2752862387762915E-2</v>
      </c>
      <c r="I762">
        <f t="shared" ca="1" si="92"/>
        <v>-1.98606869730631</v>
      </c>
      <c r="J762" s="3">
        <f t="shared" ca="1" si="93"/>
        <v>58.942316752953531</v>
      </c>
      <c r="K762" s="3">
        <f t="shared" ca="1" si="94"/>
        <v>1.6647417143744292E-2</v>
      </c>
      <c r="L762" s="3"/>
    </row>
    <row r="763" spans="1:12" x14ac:dyDescent="0.3">
      <c r="A763">
        <v>761</v>
      </c>
      <c r="B763" s="2">
        <f t="shared" si="88"/>
        <v>29045.801526717558</v>
      </c>
      <c r="C763" s="2">
        <f t="shared" si="89"/>
        <v>3.4712527297313727E-3</v>
      </c>
      <c r="D763" s="2">
        <f t="shared" si="90"/>
        <v>14.93043604401754</v>
      </c>
      <c r="E763" s="3">
        <f t="shared" si="95"/>
        <v>58.874784879231569</v>
      </c>
      <c r="F763" cm="1">
        <f t="array" aca="1" ref="F763" ca="1">INDEX($O$2:$O$34,INT(A763/$Z$1)+1)</f>
        <v>60.928385450259839</v>
      </c>
      <c r="G763" cm="1">
        <f t="array" aca="1" ref="G763" ca="1">INDEX($O$2:$O$34,INT(A763/$Z$1)+2)</f>
        <v>58.280293853851425</v>
      </c>
      <c r="H763">
        <f t="shared" ca="1" si="91"/>
        <v>-8.2752862387762915E-2</v>
      </c>
      <c r="I763">
        <f t="shared" ca="1" si="92"/>
        <v>-2.0688215596940731</v>
      </c>
      <c r="J763" s="3">
        <f t="shared" ca="1" si="93"/>
        <v>58.859563890565767</v>
      </c>
      <c r="K763" s="3">
        <f t="shared" ca="1" si="94"/>
        <v>1.5220988665802793E-2</v>
      </c>
      <c r="L763" s="3"/>
    </row>
    <row r="764" spans="1:12" x14ac:dyDescent="0.3">
      <c r="A764">
        <v>762</v>
      </c>
      <c r="B764" s="2">
        <f t="shared" si="88"/>
        <v>29195.402298850575</v>
      </c>
      <c r="C764" s="2">
        <f t="shared" si="89"/>
        <v>3.4718175648074468E-3</v>
      </c>
      <c r="D764" s="2">
        <f t="shared" si="90"/>
        <v>14.883567816649361</v>
      </c>
      <c r="E764" s="3">
        <f t="shared" si="95"/>
        <v>58.790422069968848</v>
      </c>
      <c r="F764" cm="1">
        <f t="array" aca="1" ref="F764" ca="1">INDEX($O$2:$O$34,INT(A764/$Z$1)+1)</f>
        <v>60.928385450259839</v>
      </c>
      <c r="G764" cm="1">
        <f t="array" aca="1" ref="G764" ca="1">INDEX($O$2:$O$34,INT(A764/$Z$1)+2)</f>
        <v>58.280293853851425</v>
      </c>
      <c r="H764">
        <f t="shared" ca="1" si="91"/>
        <v>-8.2752862387762915E-2</v>
      </c>
      <c r="I764">
        <f t="shared" ca="1" si="92"/>
        <v>-2.1515744220818358</v>
      </c>
      <c r="J764" s="3">
        <f t="shared" ca="1" si="93"/>
        <v>58.776811028178003</v>
      </c>
      <c r="K764" s="3">
        <f t="shared" ca="1" si="94"/>
        <v>1.3611041790845491E-2</v>
      </c>
      <c r="L764" s="3"/>
    </row>
    <row r="765" spans="1:12" x14ac:dyDescent="0.3">
      <c r="A765">
        <v>763</v>
      </c>
      <c r="B765" s="2">
        <f t="shared" si="88"/>
        <v>29346.153846153848</v>
      </c>
      <c r="C765" s="2">
        <f t="shared" si="89"/>
        <v>3.472383824549913E-3</v>
      </c>
      <c r="D765" s="2">
        <f t="shared" si="90"/>
        <v>14.836596680342211</v>
      </c>
      <c r="E765" s="3">
        <f t="shared" si="95"/>
        <v>58.70587402461598</v>
      </c>
      <c r="F765" cm="1">
        <f t="array" aca="1" ref="F765" ca="1">INDEX($O$2:$O$34,INT(A765/$Z$1)+1)</f>
        <v>60.928385450259839</v>
      </c>
      <c r="G765" cm="1">
        <f t="array" aca="1" ref="G765" ca="1">INDEX($O$2:$O$34,INT(A765/$Z$1)+2)</f>
        <v>58.280293853851425</v>
      </c>
      <c r="H765">
        <f t="shared" ca="1" si="91"/>
        <v>-8.2752862387762915E-2</v>
      </c>
      <c r="I765">
        <f t="shared" ca="1" si="92"/>
        <v>-2.2343272844695985</v>
      </c>
      <c r="J765" s="3">
        <f t="shared" ca="1" si="93"/>
        <v>58.694058165790238</v>
      </c>
      <c r="K765" s="3">
        <f t="shared" ca="1" si="94"/>
        <v>1.1815858825741543E-2</v>
      </c>
      <c r="L765" s="3"/>
    </row>
    <row r="766" spans="1:12" x14ac:dyDescent="0.3">
      <c r="A766">
        <v>764</v>
      </c>
      <c r="B766" s="2">
        <f t="shared" si="88"/>
        <v>29498.069498069497</v>
      </c>
      <c r="C766" s="2">
        <f t="shared" si="89"/>
        <v>3.4729515218943122E-3</v>
      </c>
      <c r="D766" s="2">
        <f t="shared" si="90"/>
        <v>14.789521670763975</v>
      </c>
      <c r="E766" s="3">
        <f t="shared" si="95"/>
        <v>58.621139007375156</v>
      </c>
      <c r="F766" cm="1">
        <f t="array" aca="1" ref="F766" ca="1">INDEX($O$2:$O$34,INT(A766/$Z$1)+1)</f>
        <v>60.928385450259839</v>
      </c>
      <c r="G766" cm="1">
        <f t="array" aca="1" ref="G766" ca="1">INDEX($O$2:$O$34,INT(A766/$Z$1)+2)</f>
        <v>58.280293853851425</v>
      </c>
      <c r="H766">
        <f t="shared" ca="1" si="91"/>
        <v>-8.2752862387762915E-2</v>
      </c>
      <c r="I766">
        <f t="shared" ca="1" si="92"/>
        <v>-2.3170801468573616</v>
      </c>
      <c r="J766" s="3">
        <f t="shared" ca="1" si="93"/>
        <v>58.611305303402474</v>
      </c>
      <c r="K766" s="3">
        <f t="shared" ca="1" si="94"/>
        <v>9.8337039726814623E-3</v>
      </c>
      <c r="L766" s="3"/>
    </row>
    <row r="767" spans="1:12" x14ac:dyDescent="0.3">
      <c r="A767">
        <v>765</v>
      </c>
      <c r="B767" s="2">
        <f t="shared" si="88"/>
        <v>29651.162790697676</v>
      </c>
      <c r="C767" s="2">
        <f t="shared" si="89"/>
        <v>3.4735206699186031E-3</v>
      </c>
      <c r="D767" s="2">
        <f t="shared" si="90"/>
        <v>14.742341813366465</v>
      </c>
      <c r="E767" s="3">
        <f t="shared" si="95"/>
        <v>58.536215264059635</v>
      </c>
      <c r="F767" cm="1">
        <f t="array" aca="1" ref="F767" ca="1">INDEX($O$2:$O$34,INT(A767/$Z$1)+1)</f>
        <v>60.928385450259839</v>
      </c>
      <c r="G767" cm="1">
        <f t="array" aca="1" ref="G767" ca="1">INDEX($O$2:$O$34,INT(A767/$Z$1)+2)</f>
        <v>58.280293853851425</v>
      </c>
      <c r="H767">
        <f t="shared" ca="1" si="91"/>
        <v>-8.2752862387762915E-2</v>
      </c>
      <c r="I767">
        <f t="shared" ca="1" si="92"/>
        <v>-2.3998330092451248</v>
      </c>
      <c r="J767" s="3">
        <f t="shared" ca="1" si="93"/>
        <v>58.52855244101471</v>
      </c>
      <c r="K767" s="3">
        <f t="shared" ca="1" si="94"/>
        <v>7.6628230449244938E-3</v>
      </c>
      <c r="L767" s="3"/>
    </row>
    <row r="768" spans="1:12" x14ac:dyDescent="0.3">
      <c r="A768">
        <v>766</v>
      </c>
      <c r="B768" s="2">
        <f t="shared" si="88"/>
        <v>29805.447470817122</v>
      </c>
      <c r="C768" s="2">
        <f t="shared" si="89"/>
        <v>3.4740912818454189E-3</v>
      </c>
      <c r="D768" s="2">
        <f t="shared" si="90"/>
        <v>14.695056123224674</v>
      </c>
      <c r="E768" s="3">
        <f t="shared" si="95"/>
        <v>58.451101021804412</v>
      </c>
      <c r="F768" cm="1">
        <f t="array" aca="1" ref="F768" ca="1">INDEX($O$2:$O$34,INT(A768/$Z$1)+1)</f>
        <v>60.928385450259839</v>
      </c>
      <c r="G768" cm="1">
        <f t="array" aca="1" ref="G768" ca="1">INDEX($O$2:$O$34,INT(A768/$Z$1)+2)</f>
        <v>58.280293853851425</v>
      </c>
      <c r="H768">
        <f t="shared" ca="1" si="91"/>
        <v>-8.2752862387762915E-2</v>
      </c>
      <c r="I768">
        <f t="shared" ca="1" si="92"/>
        <v>-2.4825858716328875</v>
      </c>
      <c r="J768" s="3">
        <f t="shared" ca="1" si="93"/>
        <v>58.445799578626954</v>
      </c>
      <c r="K768" s="3">
        <f t="shared" ca="1" si="94"/>
        <v>5.3014431774585091E-3</v>
      </c>
      <c r="L768" s="3"/>
    </row>
    <row r="769" spans="1:12" x14ac:dyDescent="0.3">
      <c r="A769">
        <v>767</v>
      </c>
      <c r="B769" s="2">
        <f t="shared" si="88"/>
        <v>29960.9375</v>
      </c>
      <c r="C769" s="2">
        <f t="shared" si="89"/>
        <v>3.4746633710443613E-3</v>
      </c>
      <c r="D769" s="2">
        <f t="shared" si="90"/>
        <v>14.647663604873287</v>
      </c>
      <c r="E769" s="3">
        <f t="shared" si="95"/>
        <v>58.365794488771918</v>
      </c>
      <c r="F769" cm="1">
        <f t="array" aca="1" ref="F769" ca="1">INDEX($O$2:$O$34,INT(A769/$Z$1)+1)</f>
        <v>60.928385450259839</v>
      </c>
      <c r="G769" cm="1">
        <f t="array" aca="1" ref="G769" ca="1">INDEX($O$2:$O$34,INT(A769/$Z$1)+2)</f>
        <v>58.280293853851425</v>
      </c>
      <c r="H769">
        <f t="shared" ca="1" si="91"/>
        <v>-8.2752862387762915E-2</v>
      </c>
      <c r="I769">
        <f t="shared" ca="1" si="92"/>
        <v>-2.5653387340206502</v>
      </c>
      <c r="J769" s="3">
        <f t="shared" ca="1" si="93"/>
        <v>58.363046716239189</v>
      </c>
      <c r="K769" s="3">
        <f t="shared" ca="1" si="94"/>
        <v>2.7477725327287317E-3</v>
      </c>
      <c r="L769" s="3"/>
    </row>
    <row r="770" spans="1:12" x14ac:dyDescent="0.3">
      <c r="A770">
        <v>768</v>
      </c>
      <c r="B770" s="2">
        <f t="shared" ref="B770:B833" si="96">$T$1*A770/($V$1-A770)</f>
        <v>30117.647058823528</v>
      </c>
      <c r="C770" s="2">
        <f t="shared" ref="C770:C833" si="97">LOG(B770/$T$2)/$T$3 + (1/$X$2)</f>
        <v>3.475236951034342E-3</v>
      </c>
      <c r="D770" s="2">
        <f t="shared" ref="D770:D833" si="98">1/C770 - 273.15</f>
        <v>14.60016325213968</v>
      </c>
      <c r="E770" s="3">
        <f t="shared" si="95"/>
        <v>58.280293853851425</v>
      </c>
      <c r="F770" cm="1">
        <f t="array" aca="1" ref="F770" ca="1">INDEX($O$2:$O$34,INT(A770/$Z$1)+1)</f>
        <v>58.280293853851425</v>
      </c>
      <c r="G770" cm="1">
        <f t="array" aca="1" ref="G770" ca="1">INDEX($O$2:$O$34,INT(A770/$Z$1)+2)</f>
        <v>55.429812645374284</v>
      </c>
      <c r="H770">
        <f t="shared" ca="1" si="91"/>
        <v>-8.9077537764910675E-2</v>
      </c>
      <c r="I770">
        <f t="shared" ca="1" si="92"/>
        <v>0</v>
      </c>
      <c r="J770" s="3">
        <f t="shared" ca="1" si="93"/>
        <v>58.280293853851425</v>
      </c>
      <c r="K770" s="3">
        <f t="shared" ca="1" si="94"/>
        <v>0</v>
      </c>
      <c r="L770" s="3"/>
    </row>
    <row r="771" spans="1:12" x14ac:dyDescent="0.3">
      <c r="A771">
        <v>769</v>
      </c>
      <c r="B771" s="2">
        <f t="shared" si="96"/>
        <v>30275.590551181103</v>
      </c>
      <c r="C771" s="2">
        <f t="shared" si="97"/>
        <v>3.4758120354859718E-3</v>
      </c>
      <c r="D771" s="2">
        <f t="shared" si="98"/>
        <v>14.552554047973615</v>
      </c>
      <c r="E771" s="3">
        <f t="shared" si="95"/>
        <v>58.194597286352504</v>
      </c>
      <c r="F771" cm="1">
        <f t="array" aca="1" ref="F771" ca="1">INDEX($O$2:$O$34,INT(A771/$Z$1)+1)</f>
        <v>58.280293853851425</v>
      </c>
      <c r="G771" cm="1">
        <f t="array" aca="1" ref="G771" ca="1">INDEX($O$2:$O$34,INT(A771/$Z$1)+2)</f>
        <v>55.429812645374284</v>
      </c>
      <c r="H771">
        <f t="shared" ref="H771:H834" ca="1" si="99">(G771-F771)/$Z$1</f>
        <v>-8.9077537764910675E-2</v>
      </c>
      <c r="I771">
        <f t="shared" ref="I771:I834" ca="1" si="100">H771*MOD(A771,$Z$1)</f>
        <v>-8.9077537764910675E-2</v>
      </c>
      <c r="J771" s="3">
        <f t="shared" ref="J771:J834" ca="1" si="101">F771+I771</f>
        <v>58.191216316086518</v>
      </c>
      <c r="K771" s="3">
        <f t="shared" ref="K771:K834" ca="1" si="102">E771-J771</f>
        <v>3.3809702659866048E-3</v>
      </c>
      <c r="L771" s="3"/>
    </row>
    <row r="772" spans="1:12" x14ac:dyDescent="0.3">
      <c r="A772">
        <v>770</v>
      </c>
      <c r="B772" s="2">
        <f t="shared" si="96"/>
        <v>30434.782608695652</v>
      </c>
      <c r="C772" s="2">
        <f t="shared" si="97"/>
        <v>3.4763886382239897E-3</v>
      </c>
      <c r="D772" s="2">
        <f t="shared" si="98"/>
        <v>14.504834964274323</v>
      </c>
      <c r="E772" s="3">
        <f t="shared" ref="E772:E835" si="103">D772*9/5 + 32</f>
        <v>58.108702935693785</v>
      </c>
      <c r="F772" cm="1">
        <f t="array" aca="1" ref="F772" ca="1">INDEX($O$2:$O$34,INT(A772/$Z$1)+1)</f>
        <v>58.280293853851425</v>
      </c>
      <c r="G772" cm="1">
        <f t="array" aca="1" ref="G772" ca="1">INDEX($O$2:$O$34,INT(A772/$Z$1)+2)</f>
        <v>55.429812645374284</v>
      </c>
      <c r="H772">
        <f t="shared" ca="1" si="99"/>
        <v>-8.9077537764910675E-2</v>
      </c>
      <c r="I772">
        <f t="shared" ca="1" si="100"/>
        <v>-0.17815507552982135</v>
      </c>
      <c r="J772" s="3">
        <f t="shared" ca="1" si="101"/>
        <v>58.102138778321603</v>
      </c>
      <c r="K772" s="3">
        <f t="shared" ca="1" si="102"/>
        <v>6.5641573721819668E-3</v>
      </c>
      <c r="L772" s="3"/>
    </row>
    <row r="773" spans="1:12" x14ac:dyDescent="0.3">
      <c r="A773">
        <v>771</v>
      </c>
      <c r="B773" s="2">
        <f t="shared" si="96"/>
        <v>30595.238095238095</v>
      </c>
      <c r="C773" s="2">
        <f t="shared" si="97"/>
        <v>3.4769667732297486E-3</v>
      </c>
      <c r="D773" s="2">
        <f t="shared" si="98"/>
        <v>14.457004961713153</v>
      </c>
      <c r="E773" s="3">
        <f t="shared" si="103"/>
        <v>58.022608931083674</v>
      </c>
      <c r="F773" cm="1">
        <f t="array" aca="1" ref="F773" ca="1">INDEX($O$2:$O$34,INT(A773/$Z$1)+1)</f>
        <v>58.280293853851425</v>
      </c>
      <c r="G773" cm="1">
        <f t="array" aca="1" ref="G773" ca="1">INDEX($O$2:$O$34,INT(A773/$Z$1)+2)</f>
        <v>55.429812645374284</v>
      </c>
      <c r="H773">
        <f t="shared" ca="1" si="99"/>
        <v>-8.9077537764910675E-2</v>
      </c>
      <c r="I773">
        <f t="shared" ca="1" si="100"/>
        <v>-0.26723261329473202</v>
      </c>
      <c r="J773" s="3">
        <f t="shared" ca="1" si="101"/>
        <v>58.013061240556695</v>
      </c>
      <c r="K773" s="3">
        <f t="shared" ca="1" si="102"/>
        <v>9.5476905269791246E-3</v>
      </c>
      <c r="L773" s="3"/>
    </row>
    <row r="774" spans="1:12" x14ac:dyDescent="0.3">
      <c r="A774">
        <v>772</v>
      </c>
      <c r="B774" s="2">
        <f t="shared" si="96"/>
        <v>30756.972111553783</v>
      </c>
      <c r="C774" s="2">
        <f t="shared" si="97"/>
        <v>3.4775464546437452E-3</v>
      </c>
      <c r="D774" s="2">
        <f t="shared" si="98"/>
        <v>14.409062989553775</v>
      </c>
      <c r="E774" s="3">
        <f t="shared" si="103"/>
        <v>57.936313381196797</v>
      </c>
      <c r="F774" cm="1">
        <f t="array" aca="1" ref="F774" ca="1">INDEX($O$2:$O$34,INT(A774/$Z$1)+1)</f>
        <v>58.280293853851425</v>
      </c>
      <c r="G774" cm="1">
        <f t="array" aca="1" ref="G774" ca="1">INDEX($O$2:$O$34,INT(A774/$Z$1)+2)</f>
        <v>55.429812645374284</v>
      </c>
      <c r="H774">
        <f t="shared" ca="1" si="99"/>
        <v>-8.9077537764910675E-2</v>
      </c>
      <c r="I774">
        <f t="shared" ca="1" si="100"/>
        <v>-0.3563101510596427</v>
      </c>
      <c r="J774" s="3">
        <f t="shared" ca="1" si="101"/>
        <v>57.92398370279178</v>
      </c>
      <c r="K774" s="3">
        <f t="shared" ca="1" si="102"/>
        <v>1.2329678405016864E-2</v>
      </c>
      <c r="L774" s="3"/>
    </row>
    <row r="775" spans="1:12" x14ac:dyDescent="0.3">
      <c r="A775">
        <v>773</v>
      </c>
      <c r="B775" s="2">
        <f t="shared" si="96"/>
        <v>30920</v>
      </c>
      <c r="C775" s="2">
        <f t="shared" si="97"/>
        <v>3.478127696768198E-3</v>
      </c>
      <c r="D775" s="2">
        <f t="shared" si="98"/>
        <v>14.361007985468348</v>
      </c>
      <c r="E775" s="3">
        <f t="shared" si="103"/>
        <v>57.849814373843024</v>
      </c>
      <c r="F775" cm="1">
        <f t="array" aca="1" ref="F775" ca="1">INDEX($O$2:$O$34,INT(A775/$Z$1)+1)</f>
        <v>58.280293853851425</v>
      </c>
      <c r="G775" cm="1">
        <f t="array" aca="1" ref="G775" ca="1">INDEX($O$2:$O$34,INT(A775/$Z$1)+2)</f>
        <v>55.429812645374284</v>
      </c>
      <c r="H775">
        <f t="shared" ca="1" si="99"/>
        <v>-8.9077537764910675E-2</v>
      </c>
      <c r="I775">
        <f t="shared" ca="1" si="100"/>
        <v>-0.44538768882455337</v>
      </c>
      <c r="J775" s="3">
        <f t="shared" ca="1" si="101"/>
        <v>57.834906165026872</v>
      </c>
      <c r="K775" s="3">
        <f t="shared" ca="1" si="102"/>
        <v>1.4908208816152069E-2</v>
      </c>
      <c r="L775" s="3"/>
    </row>
    <row r="776" spans="1:12" x14ac:dyDescent="0.3">
      <c r="A776">
        <v>774</v>
      </c>
      <c r="B776" s="2">
        <f t="shared" si="96"/>
        <v>31084.337349397589</v>
      </c>
      <c r="C776" s="2">
        <f t="shared" si="97"/>
        <v>3.4787105140696838E-3</v>
      </c>
      <c r="D776" s="2">
        <f t="shared" si="98"/>
        <v>14.312838875350167</v>
      </c>
      <c r="E776" s="3">
        <f t="shared" si="103"/>
        <v>57.7631099756303</v>
      </c>
      <c r="F776" cm="1">
        <f t="array" aca="1" ref="F776" ca="1">INDEX($O$2:$O$34,INT(A776/$Z$1)+1)</f>
        <v>58.280293853851425</v>
      </c>
      <c r="G776" cm="1">
        <f t="array" aca="1" ref="G776" ca="1">INDEX($O$2:$O$34,INT(A776/$Z$1)+2)</f>
        <v>55.429812645374284</v>
      </c>
      <c r="H776">
        <f t="shared" ca="1" si="99"/>
        <v>-8.9077537764910675E-2</v>
      </c>
      <c r="I776">
        <f t="shared" ca="1" si="100"/>
        <v>-0.53446522658946405</v>
      </c>
      <c r="J776" s="3">
        <f t="shared" ca="1" si="101"/>
        <v>57.745828627261965</v>
      </c>
      <c r="K776" s="3">
        <f t="shared" ca="1" si="102"/>
        <v>1.7281348368335614E-2</v>
      </c>
      <c r="L776" s="3"/>
    </row>
    <row r="777" spans="1:12" x14ac:dyDescent="0.3">
      <c r="A777">
        <v>775</v>
      </c>
      <c r="B777" s="2">
        <f t="shared" si="96"/>
        <v>31250</v>
      </c>
      <c r="C777" s="2">
        <f t="shared" si="97"/>
        <v>3.47929492118182E-3</v>
      </c>
      <c r="D777" s="2">
        <f t="shared" si="98"/>
        <v>14.264554573122496</v>
      </c>
      <c r="E777" s="3">
        <f t="shared" si="103"/>
        <v>57.676198231620489</v>
      </c>
      <c r="F777" cm="1">
        <f t="array" aca="1" ref="F777" ca="1">INDEX($O$2:$O$34,INT(A777/$Z$1)+1)</f>
        <v>58.280293853851425</v>
      </c>
      <c r="G777" cm="1">
        <f t="array" aca="1" ref="G777" ca="1">INDEX($O$2:$O$34,INT(A777/$Z$1)+2)</f>
        <v>55.429812645374284</v>
      </c>
      <c r="H777">
        <f t="shared" ca="1" si="99"/>
        <v>-8.9077537764910675E-2</v>
      </c>
      <c r="I777">
        <f t="shared" ca="1" si="100"/>
        <v>-0.62354276435437472</v>
      </c>
      <c r="J777" s="3">
        <f t="shared" ca="1" si="101"/>
        <v>57.65675108949705</v>
      </c>
      <c r="K777" s="3">
        <f t="shared" ca="1" si="102"/>
        <v>1.9447142123439676E-2</v>
      </c>
      <c r="L777" s="3"/>
    </row>
    <row r="778" spans="1:12" x14ac:dyDescent="0.3">
      <c r="A778">
        <v>776</v>
      </c>
      <c r="B778" s="2">
        <f t="shared" si="96"/>
        <v>31417.004048582996</v>
      </c>
      <c r="C778" s="2">
        <f t="shared" si="97"/>
        <v>3.4798809329080046E-3</v>
      </c>
      <c r="D778" s="2">
        <f t="shared" si="98"/>
        <v>14.216153980543822</v>
      </c>
      <c r="E778" s="3">
        <f t="shared" si="103"/>
        <v>57.589077164978882</v>
      </c>
      <c r="F778" cm="1">
        <f t="array" aca="1" ref="F778" ca="1">INDEX($O$2:$O$34,INT(A778/$Z$1)+1)</f>
        <v>58.280293853851425</v>
      </c>
      <c r="G778" cm="1">
        <f t="array" aca="1" ref="G778" ca="1">INDEX($O$2:$O$34,INT(A778/$Z$1)+2)</f>
        <v>55.429812645374284</v>
      </c>
      <c r="H778">
        <f t="shared" ca="1" si="99"/>
        <v>-8.9077537764910675E-2</v>
      </c>
      <c r="I778">
        <f t="shared" ca="1" si="100"/>
        <v>-0.7126203021192854</v>
      </c>
      <c r="J778" s="3">
        <f t="shared" ca="1" si="101"/>
        <v>57.567673551732142</v>
      </c>
      <c r="K778" s="3">
        <f t="shared" ca="1" si="102"/>
        <v>2.1403613246739894E-2</v>
      </c>
      <c r="L778" s="3"/>
    </row>
    <row r="779" spans="1:12" x14ac:dyDescent="0.3">
      <c r="A779">
        <v>777</v>
      </c>
      <c r="B779" s="2">
        <f t="shared" si="96"/>
        <v>31585.365853658535</v>
      </c>
      <c r="C779" s="2">
        <f t="shared" si="97"/>
        <v>3.4804685642242099E-3</v>
      </c>
      <c r="D779" s="2">
        <f t="shared" si="98"/>
        <v>14.167635987009191</v>
      </c>
      <c r="E779" s="3">
        <f t="shared" si="103"/>
        <v>57.501744776616547</v>
      </c>
      <c r="F779" cm="1">
        <f t="array" aca="1" ref="F779" ca="1">INDEX($O$2:$O$34,INT(A779/$Z$1)+1)</f>
        <v>58.280293853851425</v>
      </c>
      <c r="G779" cm="1">
        <f t="array" aca="1" ref="G779" ca="1">INDEX($O$2:$O$34,INT(A779/$Z$1)+2)</f>
        <v>55.429812645374284</v>
      </c>
      <c r="H779">
        <f t="shared" ca="1" si="99"/>
        <v>-8.9077537764910675E-2</v>
      </c>
      <c r="I779">
        <f t="shared" ca="1" si="100"/>
        <v>-0.80169783988419607</v>
      </c>
      <c r="J779" s="3">
        <f t="shared" ca="1" si="101"/>
        <v>57.478596013967227</v>
      </c>
      <c r="K779" s="3">
        <f t="shared" ca="1" si="102"/>
        <v>2.3148762649320531E-2</v>
      </c>
      <c r="L779" s="3"/>
    </row>
    <row r="780" spans="1:12" x14ac:dyDescent="0.3">
      <c r="A780">
        <v>778</v>
      </c>
      <c r="B780" s="2">
        <f t="shared" si="96"/>
        <v>31755.102040816328</v>
      </c>
      <c r="C780" s="2">
        <f t="shared" si="97"/>
        <v>3.4810578302818355E-3</v>
      </c>
      <c r="D780" s="2">
        <f t="shared" si="98"/>
        <v>14.11899946934733</v>
      </c>
      <c r="E780" s="3">
        <f t="shared" si="103"/>
        <v>57.414199044825196</v>
      </c>
      <c r="F780" cm="1">
        <f t="array" aca="1" ref="F780" ca="1">INDEX($O$2:$O$34,INT(A780/$Z$1)+1)</f>
        <v>58.280293853851425</v>
      </c>
      <c r="G780" cm="1">
        <f t="array" aca="1" ref="G780" ca="1">INDEX($O$2:$O$34,INT(A780/$Z$1)+2)</f>
        <v>55.429812645374284</v>
      </c>
      <c r="H780">
        <f t="shared" ca="1" si="99"/>
        <v>-8.9077537764910675E-2</v>
      </c>
      <c r="I780">
        <f t="shared" ca="1" si="100"/>
        <v>-0.89077537764910675</v>
      </c>
      <c r="J780" s="3">
        <f t="shared" ca="1" si="101"/>
        <v>57.389518476202319</v>
      </c>
      <c r="K780" s="3">
        <f t="shared" ca="1" si="102"/>
        <v>2.468056862287682E-2</v>
      </c>
      <c r="L780" s="3"/>
    </row>
    <row r="781" spans="1:12" x14ac:dyDescent="0.3">
      <c r="A781">
        <v>779</v>
      </c>
      <c r="B781" s="2">
        <f t="shared" si="96"/>
        <v>31926.22950819672</v>
      </c>
      <c r="C781" s="2">
        <f t="shared" si="97"/>
        <v>3.4816487464106151E-3</v>
      </c>
      <c r="D781" s="2">
        <f t="shared" si="98"/>
        <v>14.070243291614076</v>
      </c>
      <c r="E781" s="3">
        <f t="shared" si="103"/>
        <v>57.326437924905335</v>
      </c>
      <c r="F781" cm="1">
        <f t="array" aca="1" ref="F781" ca="1">INDEX($O$2:$O$34,INT(A781/$Z$1)+1)</f>
        <v>58.280293853851425</v>
      </c>
      <c r="G781" cm="1">
        <f t="array" aca="1" ref="G781" ca="1">INDEX($O$2:$O$34,INT(A781/$Z$1)+2)</f>
        <v>55.429812645374284</v>
      </c>
      <c r="H781">
        <f t="shared" ca="1" si="99"/>
        <v>-8.9077537764910675E-2</v>
      </c>
      <c r="I781">
        <f t="shared" ca="1" si="100"/>
        <v>-0.97985291541401742</v>
      </c>
      <c r="J781" s="3">
        <f t="shared" ca="1" si="101"/>
        <v>57.300440938437411</v>
      </c>
      <c r="K781" s="3">
        <f t="shared" ca="1" si="102"/>
        <v>2.5996986467923477E-2</v>
      </c>
      <c r="L781" s="3"/>
    </row>
    <row r="782" spans="1:12" x14ac:dyDescent="0.3">
      <c r="A782">
        <v>780</v>
      </c>
      <c r="B782" s="2">
        <f t="shared" si="96"/>
        <v>32098.765432098764</v>
      </c>
      <c r="C782" s="2">
        <f t="shared" si="97"/>
        <v>3.4822413281215855E-3</v>
      </c>
      <c r="D782" s="2">
        <f t="shared" si="98"/>
        <v>14.021366304881269</v>
      </c>
      <c r="E782" s="3">
        <f t="shared" si="103"/>
        <v>57.238459348786286</v>
      </c>
      <c r="F782" cm="1">
        <f t="array" aca="1" ref="F782" ca="1">INDEX($O$2:$O$34,INT(A782/$Z$1)+1)</f>
        <v>58.280293853851425</v>
      </c>
      <c r="G782" cm="1">
        <f t="array" aca="1" ref="G782" ca="1">INDEX($O$2:$O$34,INT(A782/$Z$1)+2)</f>
        <v>55.429812645374284</v>
      </c>
      <c r="H782">
        <f t="shared" ca="1" si="99"/>
        <v>-8.9077537764910675E-2</v>
      </c>
      <c r="I782">
        <f t="shared" ca="1" si="100"/>
        <v>-1.0689304531789281</v>
      </c>
      <c r="J782" s="3">
        <f t="shared" ca="1" si="101"/>
        <v>57.211363400672496</v>
      </c>
      <c r="K782" s="3">
        <f t="shared" ca="1" si="102"/>
        <v>2.7095948113789348E-2</v>
      </c>
      <c r="L782" s="3"/>
    </row>
    <row r="783" spans="1:12" x14ac:dyDescent="0.3">
      <c r="A783">
        <v>781</v>
      </c>
      <c r="B783" s="2">
        <f t="shared" si="96"/>
        <v>32272.727272727272</v>
      </c>
      <c r="C783" s="2">
        <f t="shared" si="97"/>
        <v>3.4828355911101175E-3</v>
      </c>
      <c r="D783" s="2">
        <f t="shared" si="98"/>
        <v>13.972367347021532</v>
      </c>
      <c r="E783" s="3">
        <f t="shared" si="103"/>
        <v>57.150261224638754</v>
      </c>
      <c r="F783" cm="1">
        <f t="array" aca="1" ref="F783" ca="1">INDEX($O$2:$O$34,INT(A783/$Z$1)+1)</f>
        <v>58.280293853851425</v>
      </c>
      <c r="G783" cm="1">
        <f t="array" aca="1" ref="G783" ca="1">INDEX($O$2:$O$34,INT(A783/$Z$1)+2)</f>
        <v>55.429812645374284</v>
      </c>
      <c r="H783">
        <f t="shared" ca="1" si="99"/>
        <v>-8.9077537764910675E-2</v>
      </c>
      <c r="I783">
        <f t="shared" ca="1" si="100"/>
        <v>-1.1580079909438388</v>
      </c>
      <c r="J783" s="3">
        <f t="shared" ca="1" si="101"/>
        <v>57.122285862907589</v>
      </c>
      <c r="K783" s="3">
        <f t="shared" ca="1" si="102"/>
        <v>2.7975361731165549E-2</v>
      </c>
      <c r="L783" s="3"/>
    </row>
    <row r="784" spans="1:12" x14ac:dyDescent="0.3">
      <c r="A784">
        <v>782</v>
      </c>
      <c r="B784" s="2">
        <f t="shared" si="96"/>
        <v>32448.132780082986</v>
      </c>
      <c r="C784" s="2">
        <f t="shared" si="97"/>
        <v>3.4834315512590063E-3</v>
      </c>
      <c r="D784" s="2">
        <f t="shared" si="98"/>
        <v>13.923245242488861</v>
      </c>
      <c r="E784" s="3">
        <f t="shared" si="103"/>
        <v>57.061841436479952</v>
      </c>
      <c r="F784" cm="1">
        <f t="array" aca="1" ref="F784" ca="1">INDEX($O$2:$O$34,INT(A784/$Z$1)+1)</f>
        <v>58.280293853851425</v>
      </c>
      <c r="G784" cm="1">
        <f t="array" aca="1" ref="G784" ca="1">INDEX($O$2:$O$34,INT(A784/$Z$1)+2)</f>
        <v>55.429812645374284</v>
      </c>
      <c r="H784">
        <f t="shared" ca="1" si="99"/>
        <v>-8.9077537764910675E-2</v>
      </c>
      <c r="I784">
        <f t="shared" ca="1" si="100"/>
        <v>-1.2470855287087494</v>
      </c>
      <c r="J784" s="3">
        <f t="shared" ca="1" si="101"/>
        <v>57.033208325142674</v>
      </c>
      <c r="K784" s="3">
        <f t="shared" ca="1" si="102"/>
        <v>2.8633111337278194E-2</v>
      </c>
      <c r="L784" s="3"/>
    </row>
    <row r="785" spans="1:12" x14ac:dyDescent="0.3">
      <c r="A785">
        <v>783</v>
      </c>
      <c r="B785" s="2">
        <f t="shared" si="96"/>
        <v>32625</v>
      </c>
      <c r="C785" s="2">
        <f t="shared" si="97"/>
        <v>3.4840292246416282E-3</v>
      </c>
      <c r="D785" s="2">
        <f t="shared" si="98"/>
        <v>13.873998802094263</v>
      </c>
      <c r="E785" s="3">
        <f t="shared" si="103"/>
        <v>56.973197843769675</v>
      </c>
      <c r="F785" cm="1">
        <f t="array" aca="1" ref="F785" ca="1">INDEX($O$2:$O$34,INT(A785/$Z$1)+1)</f>
        <v>58.280293853851425</v>
      </c>
      <c r="G785" cm="1">
        <f t="array" aca="1" ref="G785" ca="1">INDEX($O$2:$O$34,INT(A785/$Z$1)+2)</f>
        <v>55.429812645374284</v>
      </c>
      <c r="H785">
        <f t="shared" ca="1" si="99"/>
        <v>-8.9077537764910675E-2</v>
      </c>
      <c r="I785">
        <f t="shared" ca="1" si="100"/>
        <v>-1.3361630664736601</v>
      </c>
      <c r="J785" s="3">
        <f t="shared" ca="1" si="101"/>
        <v>56.944130787377766</v>
      </c>
      <c r="K785" s="3">
        <f t="shared" ca="1" si="102"/>
        <v>2.9067056391909318E-2</v>
      </c>
      <c r="L785" s="3"/>
    </row>
    <row r="786" spans="1:12" x14ac:dyDescent="0.3">
      <c r="A786">
        <v>784</v>
      </c>
      <c r="B786" s="2">
        <f t="shared" si="96"/>
        <v>32803.347280334725</v>
      </c>
      <c r="C786" s="2">
        <f t="shared" si="97"/>
        <v>3.4846286275251634E-3</v>
      </c>
      <c r="D786" s="2">
        <f t="shared" si="98"/>
        <v>13.824626822777191</v>
      </c>
      <c r="E786" s="3">
        <f t="shared" si="103"/>
        <v>56.884328280998943</v>
      </c>
      <c r="F786" cm="1">
        <f t="array" aca="1" ref="F786" ca="1">INDEX($O$2:$O$34,INT(A786/$Z$1)+1)</f>
        <v>58.280293853851425</v>
      </c>
      <c r="G786" cm="1">
        <f t="array" aca="1" ref="G786" ca="1">INDEX($O$2:$O$34,INT(A786/$Z$1)+2)</f>
        <v>55.429812645374284</v>
      </c>
      <c r="H786">
        <f t="shared" ca="1" si="99"/>
        <v>-8.9077537764910675E-2</v>
      </c>
      <c r="I786">
        <f t="shared" ca="1" si="100"/>
        <v>-1.4252406042385708</v>
      </c>
      <c r="J786" s="3">
        <f t="shared" ca="1" si="101"/>
        <v>56.855053249612851</v>
      </c>
      <c r="K786" s="3">
        <f t="shared" ca="1" si="102"/>
        <v>2.927503138609211E-2</v>
      </c>
      <c r="L786" s="3"/>
    </row>
    <row r="787" spans="1:12" x14ac:dyDescent="0.3">
      <c r="A787">
        <v>785</v>
      </c>
      <c r="B787" s="2">
        <f t="shared" si="96"/>
        <v>32983.193277310922</v>
      </c>
      <c r="C787" s="2">
        <f t="shared" si="97"/>
        <v>3.4852297763738826E-3</v>
      </c>
      <c r="D787" s="2">
        <f t="shared" si="98"/>
        <v>13.775128087372252</v>
      </c>
      <c r="E787" s="3">
        <f t="shared" si="103"/>
        <v>56.795230557270052</v>
      </c>
      <c r="F787" cm="1">
        <f t="array" aca="1" ref="F787" ca="1">INDEX($O$2:$O$34,INT(A787/$Z$1)+1)</f>
        <v>58.280293853851425</v>
      </c>
      <c r="G787" cm="1">
        <f t="array" aca="1" ref="G787" ca="1">INDEX($O$2:$O$34,INT(A787/$Z$1)+2)</f>
        <v>55.429812645374284</v>
      </c>
      <c r="H787">
        <f t="shared" ca="1" si="99"/>
        <v>-8.9077537764910675E-2</v>
      </c>
      <c r="I787">
        <f t="shared" ca="1" si="100"/>
        <v>-1.5143181420034815</v>
      </c>
      <c r="J787" s="3">
        <f t="shared" ca="1" si="101"/>
        <v>56.765975711847943</v>
      </c>
      <c r="K787" s="3">
        <f t="shared" ca="1" si="102"/>
        <v>2.9254845422109099E-2</v>
      </c>
      <c r="L787" s="3"/>
    </row>
    <row r="788" spans="1:12" x14ac:dyDescent="0.3">
      <c r="A788">
        <v>786</v>
      </c>
      <c r="B788" s="2">
        <f t="shared" si="96"/>
        <v>33164.556962025315</v>
      </c>
      <c r="C788" s="2">
        <f t="shared" si="97"/>
        <v>3.4858326878525062E-3</v>
      </c>
      <c r="D788" s="2">
        <f t="shared" si="98"/>
        <v>13.725501364370814</v>
      </c>
      <c r="E788" s="3">
        <f t="shared" si="103"/>
        <v>56.705902455867466</v>
      </c>
      <c r="F788" cm="1">
        <f t="array" aca="1" ref="F788" ca="1">INDEX($O$2:$O$34,INT(A788/$Z$1)+1)</f>
        <v>58.280293853851425</v>
      </c>
      <c r="G788" cm="1">
        <f t="array" aca="1" ref="G788" ca="1">INDEX($O$2:$O$34,INT(A788/$Z$1)+2)</f>
        <v>55.429812645374284</v>
      </c>
      <c r="H788">
        <f t="shared" ca="1" si="99"/>
        <v>-8.9077537764910675E-2</v>
      </c>
      <c r="I788">
        <f t="shared" ca="1" si="100"/>
        <v>-1.6033956797683921</v>
      </c>
      <c r="J788" s="3">
        <f t="shared" ca="1" si="101"/>
        <v>56.676898174083036</v>
      </c>
      <c r="K788" s="3">
        <f t="shared" ca="1" si="102"/>
        <v>2.900428178443093E-2</v>
      </c>
      <c r="L788" s="3"/>
    </row>
    <row r="789" spans="1:12" x14ac:dyDescent="0.3">
      <c r="A789">
        <v>787</v>
      </c>
      <c r="B789" s="2">
        <f t="shared" si="96"/>
        <v>33347.457627118645</v>
      </c>
      <c r="C789" s="2">
        <f t="shared" si="97"/>
        <v>3.4864373788296337E-3</v>
      </c>
      <c r="D789" s="2">
        <f t="shared" si="98"/>
        <v>13.675745407677823</v>
      </c>
      <c r="E789" s="3">
        <f t="shared" si="103"/>
        <v>56.616341733820079</v>
      </c>
      <c r="F789" cm="1">
        <f t="array" aca="1" ref="F789" ca="1">INDEX($O$2:$O$34,INT(A789/$Z$1)+1)</f>
        <v>58.280293853851425</v>
      </c>
      <c r="G789" cm="1">
        <f t="array" aca="1" ref="G789" ca="1">INDEX($O$2:$O$34,INT(A789/$Z$1)+2)</f>
        <v>55.429812645374284</v>
      </c>
      <c r="H789">
        <f t="shared" ca="1" si="99"/>
        <v>-8.9077537764910675E-2</v>
      </c>
      <c r="I789">
        <f t="shared" ca="1" si="100"/>
        <v>-1.6924732175333028</v>
      </c>
      <c r="J789" s="3">
        <f t="shared" ca="1" si="101"/>
        <v>56.587820636318121</v>
      </c>
      <c r="K789" s="3">
        <f t="shared" ca="1" si="102"/>
        <v>2.8521097501958081E-2</v>
      </c>
      <c r="L789" s="3"/>
    </row>
    <row r="790" spans="1:12" x14ac:dyDescent="0.3">
      <c r="A790">
        <v>788</v>
      </c>
      <c r="B790" s="2">
        <f t="shared" si="96"/>
        <v>33531.914893617024</v>
      </c>
      <c r="C790" s="2">
        <f t="shared" si="97"/>
        <v>3.4870438663812441E-3</v>
      </c>
      <c r="D790" s="2">
        <f t="shared" si="98"/>
        <v>13.625858956363516</v>
      </c>
      <c r="E790" s="3">
        <f t="shared" si="103"/>
        <v>56.526546121454331</v>
      </c>
      <c r="F790" cm="1">
        <f t="array" aca="1" ref="F790" ca="1">INDEX($O$2:$O$34,INT(A790/$Z$1)+1)</f>
        <v>58.280293853851425</v>
      </c>
      <c r="G790" cm="1">
        <f t="array" aca="1" ref="G790" ca="1">INDEX($O$2:$O$34,INT(A790/$Z$1)+2)</f>
        <v>55.429812645374284</v>
      </c>
      <c r="H790">
        <f t="shared" ca="1" si="99"/>
        <v>-8.9077537764910675E-2</v>
      </c>
      <c r="I790">
        <f t="shared" ca="1" si="100"/>
        <v>-1.7815507552982135</v>
      </c>
      <c r="J790" s="3">
        <f t="shared" ca="1" si="101"/>
        <v>56.498743098553213</v>
      </c>
      <c r="K790" s="3">
        <f t="shared" ca="1" si="102"/>
        <v>2.7803022901117913E-2</v>
      </c>
      <c r="L790" s="3"/>
    </row>
    <row r="791" spans="1:12" x14ac:dyDescent="0.3">
      <c r="A791">
        <v>789</v>
      </c>
      <c r="B791" s="2">
        <f t="shared" si="96"/>
        <v>33717.948717948719</v>
      </c>
      <c r="C791" s="2">
        <f t="shared" si="97"/>
        <v>3.4876521677942715E-3</v>
      </c>
      <c r="D791" s="2">
        <f t="shared" si="98"/>
        <v>13.575840734410008</v>
      </c>
      <c r="E791" s="3">
        <f t="shared" si="103"/>
        <v>56.436513321938016</v>
      </c>
      <c r="F791" cm="1">
        <f t="array" aca="1" ref="F791" ca="1">INDEX($O$2:$O$34,INT(A791/$Z$1)+1)</f>
        <v>58.280293853851425</v>
      </c>
      <c r="G791" cm="1">
        <f t="array" aca="1" ref="G791" ca="1">INDEX($O$2:$O$34,INT(A791/$Z$1)+2)</f>
        <v>55.429812645374284</v>
      </c>
      <c r="H791">
        <f t="shared" ca="1" si="99"/>
        <v>-8.9077537764910675E-2</v>
      </c>
      <c r="I791">
        <f t="shared" ca="1" si="100"/>
        <v>-1.8706282930631242</v>
      </c>
      <c r="J791" s="3">
        <f t="shared" ca="1" si="101"/>
        <v>56.409665560788298</v>
      </c>
      <c r="K791" s="3">
        <f t="shared" ca="1" si="102"/>
        <v>2.6847761149717542E-2</v>
      </c>
      <c r="L791" s="3"/>
    </row>
    <row r="792" spans="1:12" x14ac:dyDescent="0.3">
      <c r="A792">
        <v>790</v>
      </c>
      <c r="B792" s="2">
        <f t="shared" si="96"/>
        <v>33905.579399141629</v>
      </c>
      <c r="C792" s="2">
        <f t="shared" si="97"/>
        <v>3.4882623005702577E-3</v>
      </c>
      <c r="D792" s="2">
        <f t="shared" si="98"/>
        <v>13.525689450452489</v>
      </c>
      <c r="E792" s="3">
        <f t="shared" si="103"/>
        <v>56.346241010814481</v>
      </c>
      <c r="F792" cm="1">
        <f t="array" aca="1" ref="F792" ca="1">INDEX($O$2:$O$34,INT(A792/$Z$1)+1)</f>
        <v>58.280293853851425</v>
      </c>
      <c r="G792" cm="1">
        <f t="array" aca="1" ref="G792" ca="1">INDEX($O$2:$O$34,INT(A792/$Z$1)+2)</f>
        <v>55.429812645374284</v>
      </c>
      <c r="H792">
        <f t="shared" ca="1" si="99"/>
        <v>-8.9077537764910675E-2</v>
      </c>
      <c r="I792">
        <f t="shared" ca="1" si="100"/>
        <v>-1.9597058308280348</v>
      </c>
      <c r="J792" s="3">
        <f t="shared" ca="1" si="101"/>
        <v>56.32058802302339</v>
      </c>
      <c r="K792" s="3">
        <f t="shared" ca="1" si="102"/>
        <v>2.5652987791090709E-2</v>
      </c>
      <c r="L792" s="3"/>
    </row>
    <row r="793" spans="1:12" x14ac:dyDescent="0.3">
      <c r="A793">
        <v>791</v>
      </c>
      <c r="B793" s="2">
        <f t="shared" si="96"/>
        <v>34094.827586206899</v>
      </c>
      <c r="C793" s="2">
        <f t="shared" si="97"/>
        <v>3.4888742824290813E-3</v>
      </c>
      <c r="D793" s="2">
        <f t="shared" si="98"/>
        <v>13.475403797514787</v>
      </c>
      <c r="E793" s="3">
        <f t="shared" si="103"/>
        <v>56.255726835526616</v>
      </c>
      <c r="F793" cm="1">
        <f t="array" aca="1" ref="F793" ca="1">INDEX($O$2:$O$34,INT(A793/$Z$1)+1)</f>
        <v>58.280293853851425</v>
      </c>
      <c r="G793" cm="1">
        <f t="array" aca="1" ref="G793" ca="1">INDEX($O$2:$O$34,INT(A793/$Z$1)+2)</f>
        <v>55.429812645374284</v>
      </c>
      <c r="H793">
        <f t="shared" ca="1" si="99"/>
        <v>-8.9077537764910675E-2</v>
      </c>
      <c r="I793">
        <f t="shared" ca="1" si="100"/>
        <v>-2.0487833685929457</v>
      </c>
      <c r="J793" s="3">
        <f t="shared" ca="1" si="101"/>
        <v>56.231510485258482</v>
      </c>
      <c r="K793" s="3">
        <f t="shared" ca="1" si="102"/>
        <v>2.4216350268133624E-2</v>
      </c>
      <c r="L793" s="3"/>
    </row>
    <row r="794" spans="1:12" x14ac:dyDescent="0.3">
      <c r="A794">
        <v>792</v>
      </c>
      <c r="B794" s="2">
        <f t="shared" si="96"/>
        <v>34285.714285714283</v>
      </c>
      <c r="C794" s="2">
        <f t="shared" si="97"/>
        <v>3.4894881313127708E-3</v>
      </c>
      <c r="D794" s="2">
        <f t="shared" si="98"/>
        <v>13.424982452739528</v>
      </c>
      <c r="E794" s="3">
        <f t="shared" si="103"/>
        <v>56.164968414931153</v>
      </c>
      <c r="F794" cm="1">
        <f t="array" aca="1" ref="F794" ca="1">INDEX($O$2:$O$34,INT(A794/$Z$1)+1)</f>
        <v>58.280293853851425</v>
      </c>
      <c r="G794" cm="1">
        <f t="array" aca="1" ref="G794" ca="1">INDEX($O$2:$O$34,INT(A794/$Z$1)+2)</f>
        <v>55.429812645374284</v>
      </c>
      <c r="H794">
        <f t="shared" ca="1" si="99"/>
        <v>-8.9077537764910675E-2</v>
      </c>
      <c r="I794">
        <f t="shared" ca="1" si="100"/>
        <v>-2.1378609063578562</v>
      </c>
      <c r="J794" s="3">
        <f t="shared" ca="1" si="101"/>
        <v>56.142432947493567</v>
      </c>
      <c r="K794" s="3">
        <f t="shared" ca="1" si="102"/>
        <v>2.2535467437585055E-2</v>
      </c>
      <c r="L794" s="3"/>
    </row>
    <row r="795" spans="1:12" x14ac:dyDescent="0.3">
      <c r="A795">
        <v>793</v>
      </c>
      <c r="B795" s="2">
        <f t="shared" si="96"/>
        <v>34478.260869565216</v>
      </c>
      <c r="C795" s="2">
        <f t="shared" si="97"/>
        <v>3.4901038653893939E-3</v>
      </c>
      <c r="D795" s="2">
        <f t="shared" si="98"/>
        <v>13.374424077112451</v>
      </c>
      <c r="E795" s="3">
        <f t="shared" si="103"/>
        <v>56.073963338802415</v>
      </c>
      <c r="F795" cm="1">
        <f t="array" aca="1" ref="F795" ca="1">INDEX($O$2:$O$34,INT(A795/$Z$1)+1)</f>
        <v>58.280293853851425</v>
      </c>
      <c r="G795" cm="1">
        <f t="array" aca="1" ref="G795" ca="1">INDEX($O$2:$O$34,INT(A795/$Z$1)+2)</f>
        <v>55.429812645374284</v>
      </c>
      <c r="H795">
        <f t="shared" ca="1" si="99"/>
        <v>-8.9077537764910675E-2</v>
      </c>
      <c r="I795">
        <f t="shared" ca="1" si="100"/>
        <v>-2.2269384441227666</v>
      </c>
      <c r="J795" s="3">
        <f t="shared" ca="1" si="101"/>
        <v>56.05335540972866</v>
      </c>
      <c r="K795" s="3">
        <f t="shared" ca="1" si="102"/>
        <v>2.060792907375486E-2</v>
      </c>
      <c r="L795" s="3"/>
    </row>
    <row r="796" spans="1:12" x14ac:dyDescent="0.3">
      <c r="A796">
        <v>794</v>
      </c>
      <c r="B796" s="2">
        <f t="shared" si="96"/>
        <v>34672.489082969434</v>
      </c>
      <c r="C796" s="2">
        <f t="shared" si="97"/>
        <v>3.4907215030570387E-3</v>
      </c>
      <c r="D796" s="2">
        <f t="shared" si="98"/>
        <v>13.323727315180747</v>
      </c>
      <c r="E796" s="3">
        <f t="shared" si="103"/>
        <v>55.982709167325346</v>
      </c>
      <c r="F796" cm="1">
        <f t="array" aca="1" ref="F796" ca="1">INDEX($O$2:$O$34,INT(A796/$Z$1)+1)</f>
        <v>58.280293853851425</v>
      </c>
      <c r="G796" cm="1">
        <f t="array" aca="1" ref="G796" ca="1">INDEX($O$2:$O$34,INT(A796/$Z$1)+2)</f>
        <v>55.429812645374284</v>
      </c>
      <c r="H796">
        <f t="shared" ca="1" si="99"/>
        <v>-8.9077537764910675E-2</v>
      </c>
      <c r="I796">
        <f t="shared" ca="1" si="100"/>
        <v>-2.3160159818876775</v>
      </c>
      <c r="J796" s="3">
        <f t="shared" ca="1" si="101"/>
        <v>55.964277871963745</v>
      </c>
      <c r="K796" s="3">
        <f t="shared" ca="1" si="102"/>
        <v>1.8431295361601485E-2</v>
      </c>
      <c r="L796" s="3"/>
    </row>
    <row r="797" spans="1:12" x14ac:dyDescent="0.3">
      <c r="A797">
        <v>795</v>
      </c>
      <c r="B797" s="2">
        <f t="shared" si="96"/>
        <v>34868.42105263158</v>
      </c>
      <c r="C797" s="2">
        <f t="shared" si="97"/>
        <v>3.4913410629478763E-3</v>
      </c>
      <c r="D797" s="2">
        <f t="shared" si="98"/>
        <v>13.272890794765487</v>
      </c>
      <c r="E797" s="3">
        <f t="shared" si="103"/>
        <v>55.891203430577875</v>
      </c>
      <c r="F797" cm="1">
        <f t="array" aca="1" ref="F797" ca="1">INDEX($O$2:$O$34,INT(A797/$Z$1)+1)</f>
        <v>58.280293853851425</v>
      </c>
      <c r="G797" cm="1">
        <f t="array" aca="1" ref="G797" ca="1">INDEX($O$2:$O$34,INT(A797/$Z$1)+2)</f>
        <v>55.429812645374284</v>
      </c>
      <c r="H797">
        <f t="shared" ca="1" si="99"/>
        <v>-8.9077537764910675E-2</v>
      </c>
      <c r="I797">
        <f t="shared" ca="1" si="100"/>
        <v>-2.4050935196525884</v>
      </c>
      <c r="J797" s="3">
        <f t="shared" ca="1" si="101"/>
        <v>55.875200334198837</v>
      </c>
      <c r="K797" s="3">
        <f t="shared" ca="1" si="102"/>
        <v>1.6003096379037629E-2</v>
      </c>
      <c r="L797" s="3"/>
    </row>
    <row r="798" spans="1:12" x14ac:dyDescent="0.3">
      <c r="A798">
        <v>796</v>
      </c>
      <c r="B798" s="2">
        <f t="shared" si="96"/>
        <v>35066.079295154188</v>
      </c>
      <c r="C798" s="2">
        <f t="shared" si="97"/>
        <v>3.4919625639323144E-3</v>
      </c>
      <c r="D798" s="2">
        <f t="shared" si="98"/>
        <v>13.221913126667573</v>
      </c>
      <c r="E798" s="3">
        <f t="shared" si="103"/>
        <v>55.799443628001633</v>
      </c>
      <c r="F798" cm="1">
        <f t="array" aca="1" ref="F798" ca="1">INDEX($O$2:$O$34,INT(A798/$Z$1)+1)</f>
        <v>58.280293853851425</v>
      </c>
      <c r="G798" cm="1">
        <f t="array" aca="1" ref="G798" ca="1">INDEX($O$2:$O$34,INT(A798/$Z$1)+2)</f>
        <v>55.429812645374284</v>
      </c>
      <c r="H798">
        <f t="shared" ca="1" si="99"/>
        <v>-8.9077537764910675E-2</v>
      </c>
      <c r="I798">
        <f t="shared" ca="1" si="100"/>
        <v>-2.4941710574174989</v>
      </c>
      <c r="J798" s="3">
        <f t="shared" ca="1" si="101"/>
        <v>55.786122796433929</v>
      </c>
      <c r="K798" s="3">
        <f t="shared" ca="1" si="102"/>
        <v>1.3320831567703806E-2</v>
      </c>
      <c r="L798" s="3"/>
    </row>
    <row r="799" spans="1:12" x14ac:dyDescent="0.3">
      <c r="A799">
        <v>797</v>
      </c>
      <c r="B799" s="2">
        <f t="shared" si="96"/>
        <v>35265.486725663715</v>
      </c>
      <c r="C799" s="2">
        <f t="shared" si="97"/>
        <v>3.4925860251232422E-3</v>
      </c>
      <c r="D799" s="2">
        <f t="shared" si="98"/>
        <v>13.170792904367545</v>
      </c>
      <c r="E799" s="3">
        <f t="shared" si="103"/>
        <v>55.707427227861579</v>
      </c>
      <c r="F799" cm="1">
        <f t="array" aca="1" ref="F799" ca="1">INDEX($O$2:$O$34,INT(A799/$Z$1)+1)</f>
        <v>58.280293853851425</v>
      </c>
      <c r="G799" cm="1">
        <f t="array" aca="1" ref="G799" ca="1">INDEX($O$2:$O$34,INT(A799/$Z$1)+2)</f>
        <v>55.429812645374284</v>
      </c>
      <c r="H799">
        <f t="shared" ca="1" si="99"/>
        <v>-8.9077537764910675E-2</v>
      </c>
      <c r="I799">
        <f t="shared" ca="1" si="100"/>
        <v>-2.5832485951824093</v>
      </c>
      <c r="J799" s="3">
        <f t="shared" ca="1" si="101"/>
        <v>55.697045258669014</v>
      </c>
      <c r="K799" s="3">
        <f t="shared" ca="1" si="102"/>
        <v>1.0381969192565066E-2</v>
      </c>
      <c r="L799" s="3"/>
    </row>
    <row r="800" spans="1:12" x14ac:dyDescent="0.3">
      <c r="A800">
        <v>798</v>
      </c>
      <c r="B800" s="2">
        <f t="shared" si="96"/>
        <v>35466.666666666664</v>
      </c>
      <c r="C800" s="2">
        <f t="shared" si="97"/>
        <v>3.4932114658803698E-3</v>
      </c>
      <c r="D800" s="2">
        <f t="shared" si="98"/>
        <v>13.1195287037188</v>
      </c>
      <c r="E800" s="3">
        <f t="shared" si="103"/>
        <v>55.615151666693841</v>
      </c>
      <c r="F800" cm="1">
        <f t="array" aca="1" ref="F800" ca="1">INDEX($O$2:$O$34,INT(A800/$Z$1)+1)</f>
        <v>58.280293853851425</v>
      </c>
      <c r="G800" cm="1">
        <f t="array" aca="1" ref="G800" ca="1">INDEX($O$2:$O$34,INT(A800/$Z$1)+2)</f>
        <v>55.429812645374284</v>
      </c>
      <c r="H800">
        <f t="shared" ca="1" si="99"/>
        <v>-8.9077537764910675E-2</v>
      </c>
      <c r="I800">
        <f t="shared" ca="1" si="100"/>
        <v>-2.6723261329473202</v>
      </c>
      <c r="J800" s="3">
        <f t="shared" ca="1" si="101"/>
        <v>55.607967720904107</v>
      </c>
      <c r="K800" s="3">
        <f t="shared" ca="1" si="102"/>
        <v>7.1839457897340253E-3</v>
      </c>
      <c r="L800" s="3"/>
    </row>
    <row r="801" spans="1:12" x14ac:dyDescent="0.3">
      <c r="A801">
        <v>799</v>
      </c>
      <c r="B801" s="2">
        <f t="shared" si="96"/>
        <v>35669.642857142855</v>
      </c>
      <c r="C801" s="2">
        <f t="shared" si="97"/>
        <v>3.4938389058146641E-3</v>
      </c>
      <c r="D801" s="2">
        <f t="shared" si="98"/>
        <v>13.0681190826337</v>
      </c>
      <c r="E801" s="3">
        <f t="shared" si="103"/>
        <v>55.52261434874066</v>
      </c>
      <c r="F801" cm="1">
        <f t="array" aca="1" ref="F801" ca="1">INDEX($O$2:$O$34,INT(A801/$Z$1)+1)</f>
        <v>58.280293853851425</v>
      </c>
      <c r="G801" cm="1">
        <f t="array" aca="1" ref="G801" ca="1">INDEX($O$2:$O$34,INT(A801/$Z$1)+2)</f>
        <v>55.429812645374284</v>
      </c>
      <c r="H801">
        <f t="shared" ca="1" si="99"/>
        <v>-8.9077537764910675E-2</v>
      </c>
      <c r="I801">
        <f t="shared" ca="1" si="100"/>
        <v>-2.7614036707122311</v>
      </c>
      <c r="J801" s="3">
        <f t="shared" ca="1" si="101"/>
        <v>55.518890183139192</v>
      </c>
      <c r="K801" s="3">
        <f t="shared" ca="1" si="102"/>
        <v>3.7241656014685987E-3</v>
      </c>
      <c r="L801" s="3"/>
    </row>
    <row r="802" spans="1:12" x14ac:dyDescent="0.3">
      <c r="A802">
        <v>800</v>
      </c>
      <c r="B802" s="2">
        <f t="shared" si="96"/>
        <v>35874.439461883405</v>
      </c>
      <c r="C802" s="2">
        <f t="shared" si="97"/>
        <v>3.4944683647928805E-3</v>
      </c>
      <c r="D802" s="2">
        <f t="shared" si="98"/>
        <v>13.016562580763491</v>
      </c>
      <c r="E802" s="3">
        <f t="shared" si="103"/>
        <v>55.429812645374284</v>
      </c>
      <c r="F802" cm="1">
        <f t="array" aca="1" ref="F802" ca="1">INDEX($O$2:$O$34,INT(A802/$Z$1)+1)</f>
        <v>55.429812645374284</v>
      </c>
      <c r="G802" cm="1">
        <f t="array" aca="1" ref="G802" ca="1">INDEX($O$2:$O$34,INT(A802/$Z$1)+2)</f>
        <v>52.302860647880969</v>
      </c>
      <c r="H802">
        <f t="shared" ca="1" si="99"/>
        <v>-9.7717249921666083E-2</v>
      </c>
      <c r="I802">
        <f t="shared" ca="1" si="100"/>
        <v>0</v>
      </c>
      <c r="J802" s="3">
        <f t="shared" ca="1" si="101"/>
        <v>55.429812645374284</v>
      </c>
      <c r="K802" s="3">
        <f t="shared" ca="1" si="102"/>
        <v>0</v>
      </c>
      <c r="L802" s="3"/>
    </row>
    <row r="803" spans="1:12" x14ac:dyDescent="0.3">
      <c r="A803">
        <v>801</v>
      </c>
      <c r="B803" s="2">
        <f t="shared" si="96"/>
        <v>36081.08108108108</v>
      </c>
      <c r="C803" s="2">
        <f t="shared" si="97"/>
        <v>3.495099862942201E-3</v>
      </c>
      <c r="D803" s="2">
        <f t="shared" si="98"/>
        <v>12.964857719170482</v>
      </c>
      <c r="E803" s="3">
        <f t="shared" si="103"/>
        <v>55.336743894506867</v>
      </c>
      <c r="F803" cm="1">
        <f t="array" aca="1" ref="F803" ca="1">INDEX($O$2:$O$34,INT(A803/$Z$1)+1)</f>
        <v>55.429812645374284</v>
      </c>
      <c r="G803" cm="1">
        <f t="array" aca="1" ref="G803" ca="1">INDEX($O$2:$O$34,INT(A803/$Z$1)+2)</f>
        <v>52.302860647880969</v>
      </c>
      <c r="H803">
        <f t="shared" ca="1" si="99"/>
        <v>-9.7717249921666083E-2</v>
      </c>
      <c r="I803">
        <f t="shared" ca="1" si="100"/>
        <v>-9.7717249921666083E-2</v>
      </c>
      <c r="J803" s="3">
        <f t="shared" ca="1" si="101"/>
        <v>55.332095395452619</v>
      </c>
      <c r="K803" s="3">
        <f t="shared" ca="1" si="102"/>
        <v>4.6484990542481341E-3</v>
      </c>
      <c r="L803" s="3"/>
    </row>
    <row r="804" spans="1:12" x14ac:dyDescent="0.3">
      <c r="A804">
        <v>802</v>
      </c>
      <c r="B804" s="2">
        <f t="shared" si="96"/>
        <v>36289.592760180996</v>
      </c>
      <c r="C804" s="2">
        <f t="shared" si="97"/>
        <v>3.495733420654974E-3</v>
      </c>
      <c r="D804" s="2">
        <f t="shared" si="98"/>
        <v>12.913002999993125</v>
      </c>
      <c r="E804" s="3">
        <f t="shared" si="103"/>
        <v>55.243405399987623</v>
      </c>
      <c r="F804" cm="1">
        <f t="array" aca="1" ref="F804" ca="1">INDEX($O$2:$O$34,INT(A804/$Z$1)+1)</f>
        <v>55.429812645374284</v>
      </c>
      <c r="G804" cm="1">
        <f t="array" aca="1" ref="G804" ca="1">INDEX($O$2:$O$34,INT(A804/$Z$1)+2)</f>
        <v>52.302860647880969</v>
      </c>
      <c r="H804">
        <f t="shared" ca="1" si="99"/>
        <v>-9.7717249921666083E-2</v>
      </c>
      <c r="I804">
        <f t="shared" ca="1" si="100"/>
        <v>-0.19543449984333217</v>
      </c>
      <c r="J804" s="3">
        <f t="shared" ca="1" si="101"/>
        <v>55.234378145530954</v>
      </c>
      <c r="K804" s="3">
        <f t="shared" ca="1" si="102"/>
        <v>9.0272544566687429E-3</v>
      </c>
      <c r="L804" s="3"/>
    </row>
    <row r="805" spans="1:12" x14ac:dyDescent="0.3">
      <c r="A805">
        <v>803</v>
      </c>
      <c r="B805" s="2">
        <f t="shared" si="96"/>
        <v>36500</v>
      </c>
      <c r="C805" s="2">
        <f t="shared" si="97"/>
        <v>3.4963690585935619E-3</v>
      </c>
      <c r="D805" s="2">
        <f t="shared" si="98"/>
        <v>12.860996906103765</v>
      </c>
      <c r="E805" s="3">
        <f t="shared" si="103"/>
        <v>55.149794430986773</v>
      </c>
      <c r="F805" cm="1">
        <f t="array" aca="1" ref="F805" ca="1">INDEX($O$2:$O$34,INT(A805/$Z$1)+1)</f>
        <v>55.429812645374284</v>
      </c>
      <c r="G805" cm="1">
        <f t="array" aca="1" ref="G805" ca="1">INDEX($O$2:$O$34,INT(A805/$Z$1)+2)</f>
        <v>52.302860647880969</v>
      </c>
      <c r="H805">
        <f t="shared" ca="1" si="99"/>
        <v>-9.7717249921666083E-2</v>
      </c>
      <c r="I805">
        <f t="shared" ca="1" si="100"/>
        <v>-0.29315174976499825</v>
      </c>
      <c r="J805" s="3">
        <f t="shared" ca="1" si="101"/>
        <v>55.136660895609289</v>
      </c>
      <c r="K805" s="3">
        <f t="shared" ca="1" si="102"/>
        <v>1.3133535377484407E-2</v>
      </c>
      <c r="L805" s="3"/>
    </row>
    <row r="806" spans="1:12" x14ac:dyDescent="0.3">
      <c r="A806">
        <v>804</v>
      </c>
      <c r="B806" s="2">
        <f t="shared" si="96"/>
        <v>36712.32876712329</v>
      </c>
      <c r="C806" s="2">
        <f t="shared" si="97"/>
        <v>3.4970067976952983E-3</v>
      </c>
      <c r="D806" s="2">
        <f t="shared" si="98"/>
        <v>12.808837900758419</v>
      </c>
      <c r="E806" s="3">
        <f t="shared" si="103"/>
        <v>55.055908221365158</v>
      </c>
      <c r="F806" cm="1">
        <f t="array" aca="1" ref="F806" ca="1">INDEX($O$2:$O$34,INT(A806/$Z$1)+1)</f>
        <v>55.429812645374284</v>
      </c>
      <c r="G806" cm="1">
        <f t="array" aca="1" ref="G806" ca="1">INDEX($O$2:$O$34,INT(A806/$Z$1)+2)</f>
        <v>52.302860647880969</v>
      </c>
      <c r="H806">
        <f t="shared" ca="1" si="99"/>
        <v>-9.7717249921666083E-2</v>
      </c>
      <c r="I806">
        <f t="shared" ca="1" si="100"/>
        <v>-0.39086899968666433</v>
      </c>
      <c r="J806" s="3">
        <f t="shared" ca="1" si="101"/>
        <v>55.038943645687617</v>
      </c>
      <c r="K806" s="3">
        <f t="shared" ca="1" si="102"/>
        <v>1.696457567754095E-2</v>
      </c>
      <c r="L806" s="3"/>
    </row>
    <row r="807" spans="1:12" x14ac:dyDescent="0.3">
      <c r="A807">
        <v>805</v>
      </c>
      <c r="B807" s="2">
        <f t="shared" si="96"/>
        <v>36926.605504587154</v>
      </c>
      <c r="C807" s="2">
        <f t="shared" si="97"/>
        <v>3.497646659177559E-3</v>
      </c>
      <c r="D807" s="2">
        <f t="shared" si="98"/>
        <v>12.756524427239128</v>
      </c>
      <c r="E807" s="3">
        <f t="shared" si="103"/>
        <v>54.961743969030429</v>
      </c>
      <c r="F807" cm="1">
        <f t="array" aca="1" ref="F807" ca="1">INDEX($O$2:$O$34,INT(A807/$Z$1)+1)</f>
        <v>55.429812645374284</v>
      </c>
      <c r="G807" cm="1">
        <f t="array" aca="1" ref="G807" ca="1">INDEX($O$2:$O$34,INT(A807/$Z$1)+2)</f>
        <v>52.302860647880969</v>
      </c>
      <c r="H807">
        <f t="shared" ca="1" si="99"/>
        <v>-9.7717249921666083E-2</v>
      </c>
      <c r="I807">
        <f t="shared" ca="1" si="100"/>
        <v>-0.48858624960833041</v>
      </c>
      <c r="J807" s="3">
        <f t="shared" ca="1" si="101"/>
        <v>54.941226395765952</v>
      </c>
      <c r="K807" s="3">
        <f t="shared" ca="1" si="102"/>
        <v>2.0517573264477562E-2</v>
      </c>
      <c r="L807" s="3"/>
    </row>
    <row r="808" spans="1:12" x14ac:dyDescent="0.3">
      <c r="A808">
        <v>806</v>
      </c>
      <c r="B808" s="2">
        <f t="shared" si="96"/>
        <v>37142.857142857145</v>
      </c>
      <c r="C808" s="2">
        <f t="shared" si="97"/>
        <v>3.4982886645429511E-3</v>
      </c>
      <c r="D808" s="2">
        <f t="shared" si="98"/>
        <v>12.704054908487478</v>
      </c>
      <c r="E808" s="3">
        <f t="shared" si="103"/>
        <v>54.86729883527746</v>
      </c>
      <c r="F808" cm="1">
        <f t="array" aca="1" ref="F808" ca="1">INDEX($O$2:$O$34,INT(A808/$Z$1)+1)</f>
        <v>55.429812645374284</v>
      </c>
      <c r="G808" cm="1">
        <f t="array" aca="1" ref="G808" ca="1">INDEX($O$2:$O$34,INT(A808/$Z$1)+2)</f>
        <v>52.302860647880969</v>
      </c>
      <c r="H808">
        <f t="shared" ca="1" si="99"/>
        <v>-9.7717249921666083E-2</v>
      </c>
      <c r="I808">
        <f t="shared" ca="1" si="100"/>
        <v>-0.5863034995299965</v>
      </c>
      <c r="J808" s="3">
        <f t="shared" ca="1" si="101"/>
        <v>54.843509145844287</v>
      </c>
      <c r="K808" s="3">
        <f t="shared" ca="1" si="102"/>
        <v>2.3789689433172612E-2</v>
      </c>
      <c r="L808" s="3"/>
    </row>
    <row r="809" spans="1:12" x14ac:dyDescent="0.3">
      <c r="A809">
        <v>807</v>
      </c>
      <c r="B809" s="2">
        <f t="shared" si="96"/>
        <v>37361.111111111109</v>
      </c>
      <c r="C809" s="2">
        <f t="shared" si="97"/>
        <v>3.4989328355846164E-3</v>
      </c>
      <c r="D809" s="2">
        <f t="shared" si="98"/>
        <v>12.651427746730633</v>
      </c>
      <c r="E809" s="3">
        <f t="shared" si="103"/>
        <v>54.772569944115141</v>
      </c>
      <c r="F809" cm="1">
        <f t="array" aca="1" ref="F809" ca="1">INDEX($O$2:$O$34,INT(A809/$Z$1)+1)</f>
        <v>55.429812645374284</v>
      </c>
      <c r="G809" cm="1">
        <f t="array" aca="1" ref="G809" ca="1">INDEX($O$2:$O$34,INT(A809/$Z$1)+2)</f>
        <v>52.302860647880969</v>
      </c>
      <c r="H809">
        <f t="shared" ca="1" si="99"/>
        <v>-9.7717249921666083E-2</v>
      </c>
      <c r="I809">
        <f t="shared" ca="1" si="100"/>
        <v>-0.68402074945166258</v>
      </c>
      <c r="J809" s="3">
        <f t="shared" ca="1" si="101"/>
        <v>54.745791895922622</v>
      </c>
      <c r="K809" s="3">
        <f t="shared" ca="1" si="102"/>
        <v>2.6778048192518611E-2</v>
      </c>
      <c r="L809" s="3"/>
    </row>
    <row r="810" spans="1:12" x14ac:dyDescent="0.3">
      <c r="A810">
        <v>808</v>
      </c>
      <c r="B810" s="2">
        <f t="shared" si="96"/>
        <v>37581.395348837206</v>
      </c>
      <c r="C810" s="2">
        <f t="shared" si="97"/>
        <v>3.4995791943916647E-3</v>
      </c>
      <c r="D810" s="2">
        <f t="shared" si="98"/>
        <v>12.598641323098036</v>
      </c>
      <c r="E810" s="3">
        <f t="shared" si="103"/>
        <v>54.677554381576464</v>
      </c>
      <c r="F810" cm="1">
        <f t="array" aca="1" ref="F810" ca="1">INDEX($O$2:$O$34,INT(A810/$Z$1)+1)</f>
        <v>55.429812645374284</v>
      </c>
      <c r="G810" cm="1">
        <f t="array" aca="1" ref="G810" ca="1">INDEX($O$2:$O$34,INT(A810/$Z$1)+2)</f>
        <v>52.302860647880969</v>
      </c>
      <c r="H810">
        <f t="shared" ca="1" si="99"/>
        <v>-9.7717249921666083E-2</v>
      </c>
      <c r="I810">
        <f t="shared" ca="1" si="100"/>
        <v>-0.78173799937332866</v>
      </c>
      <c r="J810" s="3">
        <f t="shared" ca="1" si="101"/>
        <v>54.648074646000957</v>
      </c>
      <c r="K810" s="3">
        <f t="shared" ca="1" si="102"/>
        <v>2.9479735575506538E-2</v>
      </c>
      <c r="L810" s="3"/>
    </row>
    <row r="811" spans="1:12" x14ac:dyDescent="0.3">
      <c r="A811">
        <v>809</v>
      </c>
      <c r="B811" s="2">
        <f t="shared" si="96"/>
        <v>37803.738317757008</v>
      </c>
      <c r="C811" s="2">
        <f t="shared" si="97"/>
        <v>3.5002277633547282E-3</v>
      </c>
      <c r="D811" s="2">
        <f t="shared" si="98"/>
        <v>12.545693997229648</v>
      </c>
      <c r="E811" s="3">
        <f t="shared" si="103"/>
        <v>54.582249195013368</v>
      </c>
      <c r="F811" cm="1">
        <f t="array" aca="1" ref="F811" ca="1">INDEX($O$2:$O$34,INT(A811/$Z$1)+1)</f>
        <v>55.429812645374284</v>
      </c>
      <c r="G811" cm="1">
        <f t="array" aca="1" ref="G811" ca="1">INDEX($O$2:$O$34,INT(A811/$Z$1)+2)</f>
        <v>52.302860647880969</v>
      </c>
      <c r="H811">
        <f t="shared" ca="1" si="99"/>
        <v>-9.7717249921666083E-2</v>
      </c>
      <c r="I811">
        <f t="shared" ca="1" si="100"/>
        <v>-0.87945524929499475</v>
      </c>
      <c r="J811" s="3">
        <f t="shared" ca="1" si="101"/>
        <v>54.550357396079292</v>
      </c>
      <c r="K811" s="3">
        <f t="shared" ca="1" si="102"/>
        <v>3.1891798934076121E-2</v>
      </c>
      <c r="L811" s="3"/>
    </row>
    <row r="812" spans="1:12" x14ac:dyDescent="0.3">
      <c r="A812">
        <v>810</v>
      </c>
      <c r="B812" s="2">
        <f t="shared" si="96"/>
        <v>38028.169014084509</v>
      </c>
      <c r="C812" s="2">
        <f t="shared" si="97"/>
        <v>3.5008785651716471E-3</v>
      </c>
      <c r="D812" s="2">
        <f t="shared" si="98"/>
        <v>12.492584106875597</v>
      </c>
      <c r="E812" s="3">
        <f t="shared" si="103"/>
        <v>54.486651392376075</v>
      </c>
      <c r="F812" cm="1">
        <f t="array" aca="1" ref="F812" ca="1">INDEX($O$2:$O$34,INT(A812/$Z$1)+1)</f>
        <v>55.429812645374284</v>
      </c>
      <c r="G812" cm="1">
        <f t="array" aca="1" ref="G812" ca="1">INDEX($O$2:$O$34,INT(A812/$Z$1)+2)</f>
        <v>52.302860647880969</v>
      </c>
      <c r="H812">
        <f t="shared" ca="1" si="99"/>
        <v>-9.7717249921666083E-2</v>
      </c>
      <c r="I812">
        <f t="shared" ca="1" si="100"/>
        <v>-0.97717249921666083</v>
      </c>
      <c r="J812" s="3">
        <f t="shared" ca="1" si="101"/>
        <v>54.45264014615762</v>
      </c>
      <c r="K812" s="3">
        <f t="shared" ca="1" si="102"/>
        <v>3.4011246218454971E-2</v>
      </c>
      <c r="L812" s="3"/>
    </row>
    <row r="813" spans="1:12" x14ac:dyDescent="0.3">
      <c r="A813">
        <v>811</v>
      </c>
      <c r="B813" s="2">
        <f t="shared" si="96"/>
        <v>38254.716981132078</v>
      </c>
      <c r="C813" s="2">
        <f t="shared" si="97"/>
        <v>3.5015316228532911E-3</v>
      </c>
      <c r="D813" s="2">
        <f t="shared" si="98"/>
        <v>12.439309967485201</v>
      </c>
      <c r="E813" s="3">
        <f t="shared" si="103"/>
        <v>54.39075794147336</v>
      </c>
      <c r="F813" cm="1">
        <f t="array" aca="1" ref="F813" ca="1">INDEX($O$2:$O$34,INT(A813/$Z$1)+1)</f>
        <v>55.429812645374284</v>
      </c>
      <c r="G813" cm="1">
        <f t="array" aca="1" ref="G813" ca="1">INDEX($O$2:$O$34,INT(A813/$Z$1)+2)</f>
        <v>52.302860647880969</v>
      </c>
      <c r="H813">
        <f t="shared" ca="1" si="99"/>
        <v>-9.7717249921666083E-2</v>
      </c>
      <c r="I813">
        <f t="shared" ca="1" si="100"/>
        <v>-1.0748897491383269</v>
      </c>
      <c r="J813" s="3">
        <f t="shared" ca="1" si="101"/>
        <v>54.354922896235955</v>
      </c>
      <c r="K813" s="3">
        <f t="shared" ca="1" si="102"/>
        <v>3.5835045237405438E-2</v>
      </c>
      <c r="L813" s="3"/>
    </row>
    <row r="814" spans="1:12" x14ac:dyDescent="0.3">
      <c r="A814">
        <v>812</v>
      </c>
      <c r="B814" s="2">
        <f t="shared" si="96"/>
        <v>38483.412322274882</v>
      </c>
      <c r="C814" s="2">
        <f t="shared" si="97"/>
        <v>3.5021869597295133E-3</v>
      </c>
      <c r="D814" s="2">
        <f t="shared" si="98"/>
        <v>12.385869871788259</v>
      </c>
      <c r="E814" s="3">
        <f t="shared" si="103"/>
        <v>54.294565769218863</v>
      </c>
      <c r="F814" cm="1">
        <f t="array" aca="1" ref="F814" ca="1">INDEX($O$2:$O$34,INT(A814/$Z$1)+1)</f>
        <v>55.429812645374284</v>
      </c>
      <c r="G814" cm="1">
        <f t="array" aca="1" ref="G814" ca="1">INDEX($O$2:$O$34,INT(A814/$Z$1)+2)</f>
        <v>52.302860647880969</v>
      </c>
      <c r="H814">
        <f t="shared" ca="1" si="99"/>
        <v>-9.7717249921666083E-2</v>
      </c>
      <c r="I814">
        <f t="shared" ca="1" si="100"/>
        <v>-1.172606999059993</v>
      </c>
      <c r="J814" s="3">
        <f t="shared" ca="1" si="101"/>
        <v>54.25720564631429</v>
      </c>
      <c r="K814" s="3">
        <f t="shared" ca="1" si="102"/>
        <v>3.7360122904573245E-2</v>
      </c>
      <c r="L814" s="3"/>
    </row>
    <row r="815" spans="1:12" x14ac:dyDescent="0.3">
      <c r="A815">
        <v>813</v>
      </c>
      <c r="B815" s="2">
        <f t="shared" si="96"/>
        <v>38714.285714285717</v>
      </c>
      <c r="C815" s="2">
        <f t="shared" si="97"/>
        <v>3.5028445994552517E-3</v>
      </c>
      <c r="D815" s="2">
        <f t="shared" si="98"/>
        <v>12.332262089364747</v>
      </c>
      <c r="E815" s="3">
        <f t="shared" si="103"/>
        <v>54.198071760856543</v>
      </c>
      <c r="F815" cm="1">
        <f t="array" aca="1" ref="F815" ca="1">INDEX($O$2:$O$34,INT(A815/$Z$1)+1)</f>
        <v>55.429812645374284</v>
      </c>
      <c r="G815" cm="1">
        <f t="array" aca="1" ref="G815" ca="1">INDEX($O$2:$O$34,INT(A815/$Z$1)+2)</f>
        <v>52.302860647880969</v>
      </c>
      <c r="H815">
        <f t="shared" ca="1" si="99"/>
        <v>-9.7717249921666083E-2</v>
      </c>
      <c r="I815">
        <f t="shared" ca="1" si="100"/>
        <v>-1.2703242489816591</v>
      </c>
      <c r="J815" s="3">
        <f t="shared" ca="1" si="101"/>
        <v>54.159488396392625</v>
      </c>
      <c r="K815" s="3">
        <f t="shared" ca="1" si="102"/>
        <v>3.8583364463917746E-2</v>
      </c>
      <c r="L815" s="3"/>
    </row>
    <row r="816" spans="1:12" x14ac:dyDescent="0.3">
      <c r="A816">
        <v>814</v>
      </c>
      <c r="B816" s="2">
        <f t="shared" si="96"/>
        <v>38947.368421052633</v>
      </c>
      <c r="C816" s="2">
        <f t="shared" si="97"/>
        <v>3.5035045660167701E-3</v>
      </c>
      <c r="D816" s="2">
        <f t="shared" si="98"/>
        <v>12.278484866205645</v>
      </c>
      <c r="E816" s="3">
        <f t="shared" si="103"/>
        <v>54.101272759170158</v>
      </c>
      <c r="F816" cm="1">
        <f t="array" aca="1" ref="F816" ca="1">INDEX($O$2:$O$34,INT(A816/$Z$1)+1)</f>
        <v>55.429812645374284</v>
      </c>
      <c r="G816" cm="1">
        <f t="array" aca="1" ref="G816" ca="1">INDEX($O$2:$O$34,INT(A816/$Z$1)+2)</f>
        <v>52.302860647880969</v>
      </c>
      <c r="H816">
        <f t="shared" ca="1" si="99"/>
        <v>-9.7717249921666083E-2</v>
      </c>
      <c r="I816">
        <f t="shared" ca="1" si="100"/>
        <v>-1.3680414989033252</v>
      </c>
      <c r="J816" s="3">
        <f t="shared" ca="1" si="101"/>
        <v>54.06177114647096</v>
      </c>
      <c r="K816" s="3">
        <f t="shared" ca="1" si="102"/>
        <v>3.9501612699197608E-2</v>
      </c>
      <c r="L816" s="3"/>
    </row>
    <row r="817" spans="1:12" x14ac:dyDescent="0.3">
      <c r="A817">
        <v>815</v>
      </c>
      <c r="B817" s="2">
        <f t="shared" si="96"/>
        <v>39182.692307692305</v>
      </c>
      <c r="C817" s="2">
        <f t="shared" si="97"/>
        <v>3.5041668837380532E-3</v>
      </c>
      <c r="D817" s="2">
        <f t="shared" si="98"/>
        <v>12.224536424262681</v>
      </c>
      <c r="E817" s="3">
        <f t="shared" si="103"/>
        <v>54.004165563672828</v>
      </c>
      <c r="F817" cm="1">
        <f t="array" aca="1" ref="F817" ca="1">INDEX($O$2:$O$34,INT(A817/$Z$1)+1)</f>
        <v>55.429812645374284</v>
      </c>
      <c r="G817" cm="1">
        <f t="array" aca="1" ref="G817" ca="1">INDEX($O$2:$O$34,INT(A817/$Z$1)+2)</f>
        <v>52.302860647880969</v>
      </c>
      <c r="H817">
        <f t="shared" ca="1" si="99"/>
        <v>-9.7717249921666083E-2</v>
      </c>
      <c r="I817">
        <f t="shared" ca="1" si="100"/>
        <v>-1.4657587488249912</v>
      </c>
      <c r="J817" s="3">
        <f t="shared" ca="1" si="101"/>
        <v>53.964053896549295</v>
      </c>
      <c r="K817" s="3">
        <f t="shared" ca="1" si="102"/>
        <v>4.0111667123532868E-2</v>
      </c>
      <c r="L817" s="3"/>
    </row>
    <row r="818" spans="1:12" x14ac:dyDescent="0.3">
      <c r="A818">
        <v>816</v>
      </c>
      <c r="B818" s="2">
        <f t="shared" si="96"/>
        <v>39420.289855072464</v>
      </c>
      <c r="C818" s="2">
        <f t="shared" si="97"/>
        <v>3.5048315772873515E-3</v>
      </c>
      <c r="D818" s="2">
        <f t="shared" si="98"/>
        <v>12.170414960987671</v>
      </c>
      <c r="E818" s="3">
        <f t="shared" si="103"/>
        <v>53.90674692977781</v>
      </c>
      <c r="F818" cm="1">
        <f t="array" aca="1" ref="F818" ca="1">INDEX($O$2:$O$34,INT(A818/$Z$1)+1)</f>
        <v>55.429812645374284</v>
      </c>
      <c r="G818" cm="1">
        <f t="array" aca="1" ref="G818" ca="1">INDEX($O$2:$O$34,INT(A818/$Z$1)+2)</f>
        <v>52.302860647880969</v>
      </c>
      <c r="H818">
        <f t="shared" ca="1" si="99"/>
        <v>-9.7717249921666083E-2</v>
      </c>
      <c r="I818">
        <f t="shared" ca="1" si="100"/>
        <v>-1.5634759987466573</v>
      </c>
      <c r="J818" s="3">
        <f t="shared" ca="1" si="101"/>
        <v>53.86633664662763</v>
      </c>
      <c r="K818" s="3">
        <f t="shared" ca="1" si="102"/>
        <v>4.0410283150180248E-2</v>
      </c>
      <c r="L818" s="3"/>
    </row>
    <row r="819" spans="1:12" x14ac:dyDescent="0.3">
      <c r="A819">
        <v>817</v>
      </c>
      <c r="B819" s="2">
        <f t="shared" si="96"/>
        <v>39660.194174757278</v>
      </c>
      <c r="C819" s="2">
        <f t="shared" si="97"/>
        <v>3.5054986716838879E-3</v>
      </c>
      <c r="D819" s="2">
        <f t="shared" si="98"/>
        <v>12.116118648860834</v>
      </c>
      <c r="E819" s="3">
        <f t="shared" si="103"/>
        <v>53.809013567949499</v>
      </c>
      <c r="F819" cm="1">
        <f t="array" aca="1" ref="F819" ca="1">INDEX($O$2:$O$34,INT(A819/$Z$1)+1)</f>
        <v>55.429812645374284</v>
      </c>
      <c r="G819" cm="1">
        <f t="array" aca="1" ref="G819" ca="1">INDEX($O$2:$O$34,INT(A819/$Z$1)+2)</f>
        <v>52.302860647880969</v>
      </c>
      <c r="H819">
        <f t="shared" ca="1" si="99"/>
        <v>-9.7717249921666083E-2</v>
      </c>
      <c r="I819">
        <f t="shared" ca="1" si="100"/>
        <v>-1.6611932486683234</v>
      </c>
      <c r="J819" s="3">
        <f t="shared" ca="1" si="101"/>
        <v>53.768619396705958</v>
      </c>
      <c r="K819" s="3">
        <f t="shared" ca="1" si="102"/>
        <v>4.0394171243541166E-2</v>
      </c>
      <c r="L819" s="3"/>
    </row>
    <row r="820" spans="1:12" x14ac:dyDescent="0.3">
      <c r="A820">
        <v>818</v>
      </c>
      <c r="B820" s="2">
        <f t="shared" si="96"/>
        <v>39902.439024390245</v>
      </c>
      <c r="C820" s="2">
        <f t="shared" si="97"/>
        <v>3.5061681923047247E-3</v>
      </c>
      <c r="D820" s="2">
        <f t="shared" si="98"/>
        <v>12.061645634907734</v>
      </c>
      <c r="E820" s="3">
        <f t="shared" si="103"/>
        <v>53.710962142833921</v>
      </c>
      <c r="F820" cm="1">
        <f t="array" aca="1" ref="F820" ca="1">INDEX($O$2:$O$34,INT(A820/$Z$1)+1)</f>
        <v>55.429812645374284</v>
      </c>
      <c r="G820" cm="1">
        <f t="array" aca="1" ref="G820" ca="1">INDEX($O$2:$O$34,INT(A820/$Z$1)+2)</f>
        <v>52.302860647880969</v>
      </c>
      <c r="H820">
        <f t="shared" ca="1" si="99"/>
        <v>-9.7717249921666083E-2</v>
      </c>
      <c r="I820">
        <f t="shared" ca="1" si="100"/>
        <v>-1.7589104985899895</v>
      </c>
      <c r="J820" s="3">
        <f t="shared" ca="1" si="101"/>
        <v>53.670902146784293</v>
      </c>
      <c r="K820" s="3">
        <f t="shared" ca="1" si="102"/>
        <v>4.0059996049627955E-2</v>
      </c>
      <c r="L820" s="3"/>
    </row>
    <row r="821" spans="1:12" x14ac:dyDescent="0.3">
      <c r="A821">
        <v>819</v>
      </c>
      <c r="B821" s="2">
        <f t="shared" si="96"/>
        <v>40147.058823529413</v>
      </c>
      <c r="C821" s="2">
        <f t="shared" si="97"/>
        <v>3.506840164891801E-3</v>
      </c>
      <c r="D821" s="2">
        <f t="shared" si="98"/>
        <v>12.006994040204233</v>
      </c>
      <c r="E821" s="3">
        <f t="shared" si="103"/>
        <v>53.612589272367622</v>
      </c>
      <c r="F821" cm="1">
        <f t="array" aca="1" ref="F821" ca="1">INDEX($O$2:$O$34,INT(A821/$Z$1)+1)</f>
        <v>55.429812645374284</v>
      </c>
      <c r="G821" cm="1">
        <f t="array" aca="1" ref="G821" ca="1">INDEX($O$2:$O$34,INT(A821/$Z$1)+2)</f>
        <v>52.302860647880969</v>
      </c>
      <c r="H821">
        <f t="shared" ca="1" si="99"/>
        <v>-9.7717249921666083E-2</v>
      </c>
      <c r="I821">
        <f t="shared" ca="1" si="100"/>
        <v>-1.8566277485116556</v>
      </c>
      <c r="J821" s="3">
        <f t="shared" ca="1" si="101"/>
        <v>53.573184896862628</v>
      </c>
      <c r="K821" s="3">
        <f t="shared" ca="1" si="102"/>
        <v>3.9404375504993538E-2</v>
      </c>
      <c r="L821" s="3"/>
    </row>
    <row r="822" spans="1:12" x14ac:dyDescent="0.3">
      <c r="A822">
        <v>820</v>
      </c>
      <c r="B822" s="2">
        <f t="shared" si="96"/>
        <v>40394.088669950739</v>
      </c>
      <c r="C822" s="2">
        <f t="shared" si="97"/>
        <v>3.507514615559139E-3</v>
      </c>
      <c r="D822" s="2">
        <f t="shared" si="98"/>
        <v>11.952161959370301</v>
      </c>
      <c r="E822" s="3">
        <f t="shared" si="103"/>
        <v>53.513891526866544</v>
      </c>
      <c r="F822" cm="1">
        <f t="array" aca="1" ref="F822" ca="1">INDEX($O$2:$O$34,INT(A822/$Z$1)+1)</f>
        <v>55.429812645374284</v>
      </c>
      <c r="G822" cm="1">
        <f t="array" aca="1" ref="G822" ca="1">INDEX($O$2:$O$34,INT(A822/$Z$1)+2)</f>
        <v>52.302860647880969</v>
      </c>
      <c r="H822">
        <f t="shared" ca="1" si="99"/>
        <v>-9.7717249921666083E-2</v>
      </c>
      <c r="I822">
        <f t="shared" ca="1" si="100"/>
        <v>-1.9543449984333217</v>
      </c>
      <c r="J822" s="3">
        <f t="shared" ca="1" si="101"/>
        <v>53.475467646940963</v>
      </c>
      <c r="K822" s="3">
        <f t="shared" ca="1" si="102"/>
        <v>3.8423879925581161E-2</v>
      </c>
      <c r="L822" s="3"/>
    </row>
    <row r="823" spans="1:12" x14ac:dyDescent="0.3">
      <c r="A823">
        <v>821</v>
      </c>
      <c r="B823" s="2">
        <f t="shared" si="96"/>
        <v>40643.564356435643</v>
      </c>
      <c r="C823" s="2">
        <f t="shared" si="97"/>
        <v>3.5081915708002308E-3</v>
      </c>
      <c r="D823" s="2">
        <f t="shared" si="98"/>
        <v>11.897147460050633</v>
      </c>
      <c r="E823" s="3">
        <f t="shared" si="103"/>
        <v>53.41486542809114</v>
      </c>
      <c r="F823" cm="1">
        <f t="array" aca="1" ref="F823" ca="1">INDEX($O$2:$O$34,INT(A823/$Z$1)+1)</f>
        <v>55.429812645374284</v>
      </c>
      <c r="G823" cm="1">
        <f t="array" aca="1" ref="G823" ca="1">INDEX($O$2:$O$34,INT(A823/$Z$1)+2)</f>
        <v>52.302860647880969</v>
      </c>
      <c r="H823">
        <f t="shared" ca="1" si="99"/>
        <v>-9.7717249921666083E-2</v>
      </c>
      <c r="I823">
        <f t="shared" ca="1" si="100"/>
        <v>-2.0520622483549875</v>
      </c>
      <c r="J823" s="3">
        <f t="shared" ca="1" si="101"/>
        <v>53.377750397019298</v>
      </c>
      <c r="K823" s="3">
        <f t="shared" ca="1" si="102"/>
        <v>3.7115031071841997E-2</v>
      </c>
      <c r="L823" s="3"/>
    </row>
    <row r="824" spans="1:12" x14ac:dyDescent="0.3">
      <c r="A824">
        <v>822</v>
      </c>
      <c r="B824" s="2">
        <f t="shared" si="96"/>
        <v>40895.522388059704</v>
      </c>
      <c r="C824" s="2">
        <f t="shared" si="97"/>
        <v>3.5088710574956092E-3</v>
      </c>
      <c r="D824" s="2">
        <f t="shared" si="98"/>
        <v>11.841948582382884</v>
      </c>
      <c r="E824" s="3">
        <f t="shared" si="103"/>
        <v>53.315507448289189</v>
      </c>
      <c r="F824" cm="1">
        <f t="array" aca="1" ref="F824" ca="1">INDEX($O$2:$O$34,INT(A824/$Z$1)+1)</f>
        <v>55.429812645374284</v>
      </c>
      <c r="G824" cm="1">
        <f t="array" aca="1" ref="G824" ca="1">INDEX($O$2:$O$34,INT(A824/$Z$1)+2)</f>
        <v>52.302860647880969</v>
      </c>
      <c r="H824">
        <f t="shared" ca="1" si="99"/>
        <v>-9.7717249921666083E-2</v>
      </c>
      <c r="I824">
        <f t="shared" ca="1" si="100"/>
        <v>-2.1497794982766538</v>
      </c>
      <c r="J824" s="3">
        <f t="shared" ca="1" si="101"/>
        <v>53.280033147097633</v>
      </c>
      <c r="K824" s="3">
        <f t="shared" ca="1" si="102"/>
        <v>3.5474301191555924E-2</v>
      </c>
      <c r="L824" s="3"/>
    </row>
    <row r="825" spans="1:12" x14ac:dyDescent="0.3">
      <c r="A825">
        <v>823</v>
      </c>
      <c r="B825" s="2">
        <f t="shared" si="96"/>
        <v>41150</v>
      </c>
      <c r="C825" s="2">
        <f t="shared" si="97"/>
        <v>3.5095531029206034E-3</v>
      </c>
      <c r="D825" s="2">
        <f t="shared" si="98"/>
        <v>11.786563338452822</v>
      </c>
      <c r="E825" s="3">
        <f t="shared" si="103"/>
        <v>53.21581400921508</v>
      </c>
      <c r="F825" cm="1">
        <f t="array" aca="1" ref="F825" ca="1">INDEX($O$2:$O$34,INT(A825/$Z$1)+1)</f>
        <v>55.429812645374284</v>
      </c>
      <c r="G825" cm="1">
        <f t="array" aca="1" ref="G825" ca="1">INDEX($O$2:$O$34,INT(A825/$Z$1)+2)</f>
        <v>52.302860647880969</v>
      </c>
      <c r="H825">
        <f t="shared" ca="1" si="99"/>
        <v>-9.7717249921666083E-2</v>
      </c>
      <c r="I825">
        <f t="shared" ca="1" si="100"/>
        <v>-2.2474967481983201</v>
      </c>
      <c r="J825" s="3">
        <f t="shared" ca="1" si="101"/>
        <v>53.182315897175961</v>
      </c>
      <c r="K825" s="3">
        <f t="shared" ca="1" si="102"/>
        <v>3.3498112039119121E-2</v>
      </c>
      <c r="L825" s="3"/>
    </row>
    <row r="826" spans="1:12" x14ac:dyDescent="0.3">
      <c r="A826">
        <v>824</v>
      </c>
      <c r="B826" s="2">
        <f t="shared" si="96"/>
        <v>41407.035175879399</v>
      </c>
      <c r="C826" s="2">
        <f t="shared" si="97"/>
        <v>3.5102377347532923E-3</v>
      </c>
      <c r="D826" s="2">
        <f t="shared" si="98"/>
        <v>11.730989711735958</v>
      </c>
      <c r="E826" s="3">
        <f t="shared" si="103"/>
        <v>53.115781481124728</v>
      </c>
      <c r="F826" cm="1">
        <f t="array" aca="1" ref="F826" ca="1">INDEX($O$2:$O$34,INT(A826/$Z$1)+1)</f>
        <v>55.429812645374284</v>
      </c>
      <c r="G826" cm="1">
        <f t="array" aca="1" ref="G826" ca="1">INDEX($O$2:$O$34,INT(A826/$Z$1)+2)</f>
        <v>52.302860647880969</v>
      </c>
      <c r="H826">
        <f t="shared" ca="1" si="99"/>
        <v>-9.7717249921666083E-2</v>
      </c>
      <c r="I826">
        <f t="shared" ca="1" si="100"/>
        <v>-2.345213998119986</v>
      </c>
      <c r="J826" s="3">
        <f t="shared" ca="1" si="101"/>
        <v>53.084598647254296</v>
      </c>
      <c r="K826" s="3">
        <f t="shared" ca="1" si="102"/>
        <v>3.1182833870431637E-2</v>
      </c>
      <c r="L826" s="3"/>
    </row>
    <row r="827" spans="1:12" x14ac:dyDescent="0.3">
      <c r="A827">
        <v>825</v>
      </c>
      <c r="B827" s="2">
        <f t="shared" si="96"/>
        <v>41666.666666666664</v>
      </c>
      <c r="C827" s="2">
        <f t="shared" si="97"/>
        <v>3.5109249810826556E-3</v>
      </c>
      <c r="D827" s="2">
        <f t="shared" si="98"/>
        <v>11.675225656525527</v>
      </c>
      <c r="E827" s="3">
        <f t="shared" si="103"/>
        <v>53.015406181745945</v>
      </c>
      <c r="F827" cm="1">
        <f t="array" aca="1" ref="F827" ca="1">INDEX($O$2:$O$34,INT(A827/$Z$1)+1)</f>
        <v>55.429812645374284</v>
      </c>
      <c r="G827" cm="1">
        <f t="array" aca="1" ref="G827" ca="1">INDEX($O$2:$O$34,INT(A827/$Z$1)+2)</f>
        <v>52.302860647880969</v>
      </c>
      <c r="H827">
        <f t="shared" ca="1" si="99"/>
        <v>-9.7717249921666083E-2</v>
      </c>
      <c r="I827">
        <f t="shared" ca="1" si="100"/>
        <v>-2.4429312480416518</v>
      </c>
      <c r="J827" s="3">
        <f t="shared" ca="1" si="101"/>
        <v>52.986881397332631</v>
      </c>
      <c r="K827" s="3">
        <f t="shared" ca="1" si="102"/>
        <v>2.8524784413313853E-2</v>
      </c>
      <c r="L827" s="3"/>
    </row>
    <row r="828" spans="1:12" x14ac:dyDescent="0.3">
      <c r="A828">
        <v>826</v>
      </c>
      <c r="B828" s="2">
        <f t="shared" si="96"/>
        <v>41928.934010152283</v>
      </c>
      <c r="C828" s="2">
        <f t="shared" si="97"/>
        <v>3.5116148704169327E-3</v>
      </c>
      <c r="D828" s="2">
        <f t="shared" si="98"/>
        <v>11.619269097345637</v>
      </c>
      <c r="E828" s="3">
        <f t="shared" si="103"/>
        <v>52.914684375222144</v>
      </c>
      <c r="F828" cm="1">
        <f t="array" aca="1" ref="F828" ca="1">INDEX($O$2:$O$34,INT(A828/$Z$1)+1)</f>
        <v>55.429812645374284</v>
      </c>
      <c r="G828" cm="1">
        <f t="array" aca="1" ref="G828" ca="1">INDEX($O$2:$O$34,INT(A828/$Z$1)+2)</f>
        <v>52.302860647880969</v>
      </c>
      <c r="H828">
        <f t="shared" ca="1" si="99"/>
        <v>-9.7717249921666083E-2</v>
      </c>
      <c r="I828">
        <f t="shared" ca="1" si="100"/>
        <v>-2.5406484979633182</v>
      </c>
      <c r="J828" s="3">
        <f t="shared" ca="1" si="101"/>
        <v>52.889164147410966</v>
      </c>
      <c r="K828" s="3">
        <f t="shared" ca="1" si="102"/>
        <v>2.5520227811178131E-2</v>
      </c>
      <c r="L828" s="3"/>
    </row>
    <row r="829" spans="1:12" x14ac:dyDescent="0.3">
      <c r="A829">
        <v>827</v>
      </c>
      <c r="B829" s="2">
        <f t="shared" si="96"/>
        <v>42193.877551020407</v>
      </c>
      <c r="C829" s="2">
        <f t="shared" si="97"/>
        <v>3.5123074316921938E-3</v>
      </c>
      <c r="D829" s="2">
        <f t="shared" si="98"/>
        <v>11.563117928350096</v>
      </c>
      <c r="E829" s="3">
        <f t="shared" si="103"/>
        <v>52.813612271030173</v>
      </c>
      <c r="F829" cm="1">
        <f t="array" aca="1" ref="F829" ca="1">INDEX($O$2:$O$34,INT(A829/$Z$1)+1)</f>
        <v>55.429812645374284</v>
      </c>
      <c r="G829" cm="1">
        <f t="array" aca="1" ref="G829" ca="1">INDEX($O$2:$O$34,INT(A829/$Z$1)+2)</f>
        <v>52.302860647880969</v>
      </c>
      <c r="H829">
        <f t="shared" ca="1" si="99"/>
        <v>-9.7717249921666083E-2</v>
      </c>
      <c r="I829">
        <f t="shared" ca="1" si="100"/>
        <v>-2.6383657478849845</v>
      </c>
      <c r="J829" s="3">
        <f t="shared" ca="1" si="101"/>
        <v>52.791446897489301</v>
      </c>
      <c r="K829" s="3">
        <f t="shared" ca="1" si="102"/>
        <v>2.2165373540872224E-2</v>
      </c>
      <c r="L829" s="3"/>
    </row>
    <row r="830" spans="1:12" x14ac:dyDescent="0.3">
      <c r="A830">
        <v>828</v>
      </c>
      <c r="B830" s="2">
        <f t="shared" si="96"/>
        <v>42461.538461538461</v>
      </c>
      <c r="C830" s="2">
        <f t="shared" si="97"/>
        <v>3.5130026942811281E-3</v>
      </c>
      <c r="D830" s="2">
        <f t="shared" si="98"/>
        <v>11.506770012706113</v>
      </c>
      <c r="E830" s="3">
        <f t="shared" si="103"/>
        <v>52.712186022871002</v>
      </c>
      <c r="F830" cm="1">
        <f t="array" aca="1" ref="F830" ca="1">INDEX($O$2:$O$34,INT(A830/$Z$1)+1)</f>
        <v>55.429812645374284</v>
      </c>
      <c r="G830" cm="1">
        <f t="array" aca="1" ref="G830" ca="1">INDEX($O$2:$O$34,INT(A830/$Z$1)+2)</f>
        <v>52.302860647880969</v>
      </c>
      <c r="H830">
        <f t="shared" ca="1" si="99"/>
        <v>-9.7717249921666083E-2</v>
      </c>
      <c r="I830">
        <f t="shared" ca="1" si="100"/>
        <v>-2.7360829978066503</v>
      </c>
      <c r="J830" s="3">
        <f t="shared" ca="1" si="101"/>
        <v>52.693729647567636</v>
      </c>
      <c r="K830" s="3">
        <f t="shared" ca="1" si="102"/>
        <v>1.8456375303365746E-2</v>
      </c>
      <c r="L830" s="3"/>
    </row>
    <row r="831" spans="1:12" x14ac:dyDescent="0.3">
      <c r="A831">
        <v>829</v>
      </c>
      <c r="B831" s="2">
        <f t="shared" si="96"/>
        <v>42731.958762886599</v>
      </c>
      <c r="C831" s="2">
        <f t="shared" si="97"/>
        <v>3.5137006880020614E-3</v>
      </c>
      <c r="D831" s="2">
        <f t="shared" si="98"/>
        <v>11.450223181961974</v>
      </c>
      <c r="E831" s="3">
        <f t="shared" si="103"/>
        <v>52.610401727531553</v>
      </c>
      <c r="F831" cm="1">
        <f t="array" aca="1" ref="F831" ca="1">INDEX($O$2:$O$34,INT(A831/$Z$1)+1)</f>
        <v>55.429812645374284</v>
      </c>
      <c r="G831" cm="1">
        <f t="array" aca="1" ref="G831" ca="1">INDEX($O$2:$O$34,INT(A831/$Z$1)+2)</f>
        <v>52.302860647880969</v>
      </c>
      <c r="H831">
        <f t="shared" ca="1" si="99"/>
        <v>-9.7717249921666083E-2</v>
      </c>
      <c r="I831">
        <f t="shared" ca="1" si="100"/>
        <v>-2.8338002477283162</v>
      </c>
      <c r="J831" s="3">
        <f t="shared" ca="1" si="101"/>
        <v>52.596012397645964</v>
      </c>
      <c r="K831" s="3">
        <f t="shared" ca="1" si="102"/>
        <v>1.4389329885588609E-2</v>
      </c>
      <c r="L831" s="3"/>
    </row>
    <row r="832" spans="1:12" x14ac:dyDescent="0.3">
      <c r="A832">
        <v>830</v>
      </c>
      <c r="B832" s="2">
        <f t="shared" si="96"/>
        <v>43005.181347150261</v>
      </c>
      <c r="C832" s="2">
        <f t="shared" si="97"/>
        <v>3.5144014431282011E-3</v>
      </c>
      <c r="D832" s="2">
        <f t="shared" si="98"/>
        <v>11.39347523539908</v>
      </c>
      <c r="E832" s="3">
        <f t="shared" si="103"/>
        <v>52.508255423718346</v>
      </c>
      <c r="F832" cm="1">
        <f t="array" aca="1" ref="F832" ca="1">INDEX($O$2:$O$34,INT(A832/$Z$1)+1)</f>
        <v>55.429812645374284</v>
      </c>
      <c r="G832" cm="1">
        <f t="array" aca="1" ref="G832" ca="1">INDEX($O$2:$O$34,INT(A832/$Z$1)+2)</f>
        <v>52.302860647880969</v>
      </c>
      <c r="H832">
        <f t="shared" ca="1" si="99"/>
        <v>-9.7717249921666083E-2</v>
      </c>
      <c r="I832">
        <f t="shared" ca="1" si="100"/>
        <v>-2.9315174976499825</v>
      </c>
      <c r="J832" s="3">
        <f t="shared" ca="1" si="101"/>
        <v>52.498295147724299</v>
      </c>
      <c r="K832" s="3">
        <f t="shared" ca="1" si="102"/>
        <v>9.9602759940466967E-3</v>
      </c>
      <c r="L832" s="3"/>
    </row>
    <row r="833" spans="1:12" x14ac:dyDescent="0.3">
      <c r="A833">
        <v>831</v>
      </c>
      <c r="B833" s="2">
        <f t="shared" si="96"/>
        <v>43281.25</v>
      </c>
      <c r="C833" s="2">
        <f t="shared" si="97"/>
        <v>3.5151049903971283E-3</v>
      </c>
      <c r="D833" s="2">
        <f t="shared" si="98"/>
        <v>11.336523939366714</v>
      </c>
      <c r="E833" s="3">
        <f t="shared" si="103"/>
        <v>52.405743090860085</v>
      </c>
      <c r="F833" cm="1">
        <f t="array" aca="1" ref="F833" ca="1">INDEX($O$2:$O$34,INT(A833/$Z$1)+1)</f>
        <v>55.429812645374284</v>
      </c>
      <c r="G833" cm="1">
        <f t="array" aca="1" ref="G833" ca="1">INDEX($O$2:$O$34,INT(A833/$Z$1)+2)</f>
        <v>52.302860647880969</v>
      </c>
      <c r="H833">
        <f t="shared" ca="1" si="99"/>
        <v>-9.7717249921666083E-2</v>
      </c>
      <c r="I833">
        <f t="shared" ca="1" si="100"/>
        <v>-3.0292347475716488</v>
      </c>
      <c r="J833" s="3">
        <f t="shared" ca="1" si="101"/>
        <v>52.400577897802634</v>
      </c>
      <c r="K833" s="3">
        <f t="shared" ca="1" si="102"/>
        <v>5.1651930574507787E-3</v>
      </c>
      <c r="L833" s="3"/>
    </row>
    <row r="834" spans="1:12" x14ac:dyDescent="0.3">
      <c r="A834">
        <v>832</v>
      </c>
      <c r="B834" s="2">
        <f t="shared" ref="B834:B897" si="104">$T$1*A834/($V$1-A834)</f>
        <v>43560.209424083769</v>
      </c>
      <c r="C834" s="2">
        <f t="shared" ref="C834:C897" si="105">LOG(B834/$T$2)/$T$3 + (1/$X$2)</f>
        <v>3.5158113610205292E-3</v>
      </c>
      <c r="D834" s="2">
        <f t="shared" ref="D834:D897" si="106">1/C834 - 273.15</f>
        <v>11.279367026600539</v>
      </c>
      <c r="E834" s="3">
        <f t="shared" si="103"/>
        <v>52.302860647880969</v>
      </c>
      <c r="F834" cm="1">
        <f t="array" aca="1" ref="F834" ca="1">INDEX($O$2:$O$34,INT(A834/$Z$1)+1)</f>
        <v>52.302860647880969</v>
      </c>
      <c r="G834" cm="1">
        <f t="array" aca="1" ref="G834" ca="1">INDEX($O$2:$O$34,INT(A834/$Z$1)+2)</f>
        <v>48.787066441536446</v>
      </c>
      <c r="H834">
        <f t="shared" ca="1" si="99"/>
        <v>-0.10986856894826635</v>
      </c>
      <c r="I834">
        <f t="shared" ca="1" si="100"/>
        <v>0</v>
      </c>
      <c r="J834" s="3">
        <f t="shared" ca="1" si="101"/>
        <v>52.302860647880969</v>
      </c>
      <c r="K834" s="3">
        <f t="shared" ca="1" si="102"/>
        <v>0</v>
      </c>
      <c r="L834" s="3"/>
    </row>
    <row r="835" spans="1:12" x14ac:dyDescent="0.3">
      <c r="A835">
        <v>833</v>
      </c>
      <c r="B835" s="2">
        <f t="shared" si="104"/>
        <v>43842.105263157893</v>
      </c>
      <c r="C835" s="2">
        <f t="shared" si="105"/>
        <v>3.5165205866941906E-3</v>
      </c>
      <c r="D835" s="2">
        <f t="shared" si="106"/>
        <v>11.222002195522407</v>
      </c>
      <c r="E835" s="3">
        <f t="shared" si="103"/>
        <v>52.199603951940333</v>
      </c>
      <c r="F835" cm="1">
        <f t="array" aca="1" ref="F835" ca="1">INDEX($O$2:$O$34,INT(A835/$Z$1)+1)</f>
        <v>52.302860647880969</v>
      </c>
      <c r="G835" cm="1">
        <f t="array" aca="1" ref="G835" ca="1">INDEX($O$2:$O$34,INT(A835/$Z$1)+2)</f>
        <v>48.787066441536446</v>
      </c>
      <c r="H835">
        <f t="shared" ref="H835:H898" ca="1" si="107">(G835-F835)/$Z$1</f>
        <v>-0.10986856894826635</v>
      </c>
      <c r="I835">
        <f t="shared" ref="I835:I898" ca="1" si="108">H835*MOD(A835,$Z$1)</f>
        <v>-0.10986856894826635</v>
      </c>
      <c r="J835" s="3">
        <f t="shared" ref="J835:J898" ca="1" si="109">F835+I835</f>
        <v>52.192992078932704</v>
      </c>
      <c r="K835" s="3">
        <f t="shared" ref="K835:K898" ca="1" si="110">E835-J835</f>
        <v>6.6118730076283327E-3</v>
      </c>
      <c r="L835" s="3"/>
    </row>
    <row r="836" spans="1:12" x14ac:dyDescent="0.3">
      <c r="A836">
        <v>834</v>
      </c>
      <c r="B836" s="2">
        <f t="shared" si="104"/>
        <v>44126.984126984127</v>
      </c>
      <c r="C836" s="2">
        <f t="shared" si="105"/>
        <v>3.5172326996082506E-3</v>
      </c>
      <c r="D836" s="2">
        <f t="shared" si="106"/>
        <v>11.164427109522819</v>
      </c>
      <c r="E836" s="3">
        <f t="shared" ref="E836:E899" si="111">D836*9/5 + 32</f>
        <v>52.095968797141076</v>
      </c>
      <c r="F836" cm="1">
        <f t="array" aca="1" ref="F836" ca="1">INDEX($O$2:$O$34,INT(A836/$Z$1)+1)</f>
        <v>52.302860647880969</v>
      </c>
      <c r="G836" cm="1">
        <f t="array" aca="1" ref="G836" ca="1">INDEX($O$2:$O$34,INT(A836/$Z$1)+2)</f>
        <v>48.787066441536446</v>
      </c>
      <c r="H836">
        <f t="shared" ca="1" si="107"/>
        <v>-0.10986856894826635</v>
      </c>
      <c r="I836">
        <f t="shared" ca="1" si="108"/>
        <v>-0.21973713789653271</v>
      </c>
      <c r="J836" s="3">
        <f t="shared" ca="1" si="109"/>
        <v>52.083123509984439</v>
      </c>
      <c r="K836" s="3">
        <f t="shared" ca="1" si="110"/>
        <v>1.2845287156636687E-2</v>
      </c>
      <c r="L836" s="3"/>
    </row>
    <row r="837" spans="1:12" x14ac:dyDescent="0.3">
      <c r="A837">
        <v>835</v>
      </c>
      <c r="B837" s="2">
        <f t="shared" si="104"/>
        <v>44414.893617021276</v>
      </c>
      <c r="C837" s="2">
        <f t="shared" si="105"/>
        <v>3.517947732457726E-3</v>
      </c>
      <c r="D837" s="2">
        <f t="shared" si="106"/>
        <v>11.106639396224125</v>
      </c>
      <c r="E837" s="3">
        <f t="shared" si="111"/>
        <v>51.991950913203425</v>
      </c>
      <c r="F837" cm="1">
        <f t="array" aca="1" ref="F837" ca="1">INDEX($O$2:$O$34,INT(A837/$Z$1)+1)</f>
        <v>52.302860647880969</v>
      </c>
      <c r="G837" cm="1">
        <f t="array" aca="1" ref="G837" ca="1">INDEX($O$2:$O$34,INT(A837/$Z$1)+2)</f>
        <v>48.787066441536446</v>
      </c>
      <c r="H837">
        <f t="shared" ca="1" si="107"/>
        <v>-0.10986856894826635</v>
      </c>
      <c r="I837">
        <f t="shared" ca="1" si="108"/>
        <v>-0.32960570684479906</v>
      </c>
      <c r="J837" s="3">
        <f t="shared" ca="1" si="109"/>
        <v>51.973254941036167</v>
      </c>
      <c r="K837" s="3">
        <f t="shared" ca="1" si="110"/>
        <v>1.8695972167257935E-2</v>
      </c>
      <c r="L837" s="3"/>
    </row>
    <row r="838" spans="1:12" x14ac:dyDescent="0.3">
      <c r="A838">
        <v>836</v>
      </c>
      <c r="B838" s="2">
        <f t="shared" si="104"/>
        <v>44705.882352941175</v>
      </c>
      <c r="C838" s="2">
        <f t="shared" si="105"/>
        <v>3.5186657184533197E-3</v>
      </c>
      <c r="D838" s="2">
        <f t="shared" si="106"/>
        <v>11.048636646724276</v>
      </c>
      <c r="E838" s="3">
        <f t="shared" si="111"/>
        <v>51.887545964103694</v>
      </c>
      <c r="F838" cm="1">
        <f t="array" aca="1" ref="F838" ca="1">INDEX($O$2:$O$34,INT(A838/$Z$1)+1)</f>
        <v>52.302860647880969</v>
      </c>
      <c r="G838" cm="1">
        <f t="array" aca="1" ref="G838" ca="1">INDEX($O$2:$O$34,INT(A838/$Z$1)+2)</f>
        <v>48.787066441536446</v>
      </c>
      <c r="H838">
        <f t="shared" ca="1" si="107"/>
        <v>-0.10986856894826635</v>
      </c>
      <c r="I838">
        <f t="shared" ca="1" si="108"/>
        <v>-0.43947427579306542</v>
      </c>
      <c r="J838" s="3">
        <f t="shared" ca="1" si="109"/>
        <v>51.863386372087902</v>
      </c>
      <c r="K838" s="3">
        <f t="shared" ca="1" si="110"/>
        <v>2.4159592015791986E-2</v>
      </c>
      <c r="L838" s="3"/>
    </row>
    <row r="839" spans="1:12" x14ac:dyDescent="0.3">
      <c r="A839">
        <v>837</v>
      </c>
      <c r="B839" s="2">
        <f t="shared" si="104"/>
        <v>45000</v>
      </c>
      <c r="C839" s="2">
        <f t="shared" si="105"/>
        <v>3.5193866913325162E-3</v>
      </c>
      <c r="D839" s="2">
        <f t="shared" si="106"/>
        <v>10.99041641482097</v>
      </c>
      <c r="E839" s="3">
        <f t="shared" si="111"/>
        <v>51.782749546677749</v>
      </c>
      <c r="F839" cm="1">
        <f t="array" aca="1" ref="F839" ca="1">INDEX($O$2:$O$34,INT(A839/$Z$1)+1)</f>
        <v>52.302860647880969</v>
      </c>
      <c r="G839" cm="1">
        <f t="array" aca="1" ref="G839" ca="1">INDEX($O$2:$O$34,INT(A839/$Z$1)+2)</f>
        <v>48.787066441536446</v>
      </c>
      <c r="H839">
        <f t="shared" ca="1" si="107"/>
        <v>-0.10986856894826635</v>
      </c>
      <c r="I839">
        <f t="shared" ca="1" si="108"/>
        <v>-0.54934284474133177</v>
      </c>
      <c r="J839" s="3">
        <f t="shared" ca="1" si="109"/>
        <v>51.753517803139637</v>
      </c>
      <c r="K839" s="3">
        <f t="shared" ca="1" si="110"/>
        <v>2.9231743538112198E-2</v>
      </c>
      <c r="L839" s="3"/>
    </row>
    <row r="840" spans="1:12" x14ac:dyDescent="0.3">
      <c r="A840">
        <v>838</v>
      </c>
      <c r="B840" s="2">
        <f t="shared" si="104"/>
        <v>45297.2972972973</v>
      </c>
      <c r="C840" s="2">
        <f t="shared" si="105"/>
        <v>3.5201106853709765E-3</v>
      </c>
      <c r="D840" s="2">
        <f t="shared" si="106"/>
        <v>10.931976216214423</v>
      </c>
      <c r="E840" s="3">
        <f t="shared" si="111"/>
        <v>51.677557189185961</v>
      </c>
      <c r="F840" cm="1">
        <f t="array" aca="1" ref="F840" ca="1">INDEX($O$2:$O$34,INT(A840/$Z$1)+1)</f>
        <v>52.302860647880969</v>
      </c>
      <c r="G840" cm="1">
        <f t="array" aca="1" ref="G840" ca="1">INDEX($O$2:$O$34,INT(A840/$Z$1)+2)</f>
        <v>48.787066441536446</v>
      </c>
      <c r="H840">
        <f t="shared" ca="1" si="107"/>
        <v>-0.10986856894826635</v>
      </c>
      <c r="I840">
        <f t="shared" ca="1" si="108"/>
        <v>-0.65921141368959812</v>
      </c>
      <c r="J840" s="3">
        <f t="shared" ca="1" si="109"/>
        <v>51.643649234191372</v>
      </c>
      <c r="K840" s="3">
        <f t="shared" ca="1" si="110"/>
        <v>3.3907954994589318E-2</v>
      </c>
      <c r="L840" s="3"/>
    </row>
    <row r="841" spans="1:12" x14ac:dyDescent="0.3">
      <c r="A841">
        <v>839</v>
      </c>
      <c r="B841" s="2">
        <f t="shared" si="104"/>
        <v>45597.82608695652</v>
      </c>
      <c r="C841" s="2">
        <f t="shared" si="105"/>
        <v>3.5208377353942426E-3</v>
      </c>
      <c r="D841" s="2">
        <f t="shared" si="106"/>
        <v>10.873313527689731</v>
      </c>
      <c r="E841" s="3">
        <f t="shared" si="111"/>
        <v>51.571964349841515</v>
      </c>
      <c r="F841" cm="1">
        <f t="array" aca="1" ref="F841" ca="1">INDEX($O$2:$O$34,INT(A841/$Z$1)+1)</f>
        <v>52.302860647880969</v>
      </c>
      <c r="G841" cm="1">
        <f t="array" aca="1" ref="G841" ca="1">INDEX($O$2:$O$34,INT(A841/$Z$1)+2)</f>
        <v>48.787066441536446</v>
      </c>
      <c r="H841">
        <f t="shared" ca="1" si="107"/>
        <v>-0.10986856894826635</v>
      </c>
      <c r="I841">
        <f t="shared" ca="1" si="108"/>
        <v>-0.76907998263786448</v>
      </c>
      <c r="J841" s="3">
        <f t="shared" ca="1" si="109"/>
        <v>51.533780665243107</v>
      </c>
      <c r="K841" s="3">
        <f t="shared" ca="1" si="110"/>
        <v>3.8183684598408263E-2</v>
      </c>
      <c r="L841" s="3"/>
    </row>
    <row r="842" spans="1:12" x14ac:dyDescent="0.3">
      <c r="A842">
        <v>840</v>
      </c>
      <c r="B842" s="2">
        <f t="shared" si="104"/>
        <v>45901.639344262294</v>
      </c>
      <c r="C842" s="2">
        <f t="shared" si="105"/>
        <v>3.5215678767897586E-3</v>
      </c>
      <c r="D842" s="2">
        <f t="shared" si="106"/>
        <v>10.814425786276331</v>
      </c>
      <c r="E842" s="3">
        <f t="shared" si="111"/>
        <v>51.465966415297395</v>
      </c>
      <c r="F842" cm="1">
        <f t="array" aca="1" ref="F842" ca="1">INDEX($O$2:$O$34,INT(A842/$Z$1)+1)</f>
        <v>52.302860647880969</v>
      </c>
      <c r="G842" cm="1">
        <f t="array" aca="1" ref="G842" ca="1">INDEX($O$2:$O$34,INT(A842/$Z$1)+2)</f>
        <v>48.787066441536446</v>
      </c>
      <c r="H842">
        <f t="shared" ca="1" si="107"/>
        <v>-0.10986856894826635</v>
      </c>
      <c r="I842">
        <f t="shared" ca="1" si="108"/>
        <v>-0.87894855158613083</v>
      </c>
      <c r="J842" s="3">
        <f t="shared" ca="1" si="109"/>
        <v>51.423912096294842</v>
      </c>
      <c r="K842" s="3">
        <f t="shared" ca="1" si="110"/>
        <v>4.2054319002552631E-2</v>
      </c>
      <c r="L842" s="3"/>
    </row>
    <row r="843" spans="1:12" x14ac:dyDescent="0.3">
      <c r="A843">
        <v>841</v>
      </c>
      <c r="B843" s="2">
        <f t="shared" si="104"/>
        <v>46208.791208791212</v>
      </c>
      <c r="C843" s="2">
        <f t="shared" si="105"/>
        <v>3.5223011455192232E-3</v>
      </c>
      <c r="D843" s="2">
        <f t="shared" si="106"/>
        <v>10.755310388385283</v>
      </c>
      <c r="E843" s="3">
        <f t="shared" si="111"/>
        <v>51.359558699093512</v>
      </c>
      <c r="F843" cm="1">
        <f t="array" aca="1" ref="F843" ca="1">INDEX($O$2:$O$34,INT(A843/$Z$1)+1)</f>
        <v>52.302860647880969</v>
      </c>
      <c r="G843" cm="1">
        <f t="array" aca="1" ref="G843" ca="1">INDEX($O$2:$O$34,INT(A843/$Z$1)+2)</f>
        <v>48.787066441536446</v>
      </c>
      <c r="H843">
        <f t="shared" ca="1" si="107"/>
        <v>-0.10986856894826635</v>
      </c>
      <c r="I843">
        <f t="shared" ca="1" si="108"/>
        <v>-0.98881712053439719</v>
      </c>
      <c r="J843" s="3">
        <f t="shared" ca="1" si="109"/>
        <v>51.31404352734657</v>
      </c>
      <c r="K843" s="3">
        <f t="shared" ca="1" si="110"/>
        <v>4.5515171746941974E-2</v>
      </c>
      <c r="L843" s="3"/>
    </row>
    <row r="844" spans="1:12" x14ac:dyDescent="0.3">
      <c r="A844">
        <v>842</v>
      </c>
      <c r="B844" s="2">
        <f t="shared" si="104"/>
        <v>46519.337016574587</v>
      </c>
      <c r="C844" s="2">
        <f t="shared" si="105"/>
        <v>3.5230375781312808E-3</v>
      </c>
      <c r="D844" s="2">
        <f t="shared" si="106"/>
        <v>10.695964688922913</v>
      </c>
      <c r="E844" s="3">
        <f t="shared" si="111"/>
        <v>51.252736440061241</v>
      </c>
      <c r="F844" cm="1">
        <f t="array" aca="1" ref="F844" ca="1">INDEX($O$2:$O$34,INT(A844/$Z$1)+1)</f>
        <v>52.302860647880969</v>
      </c>
      <c r="G844" cm="1">
        <f t="array" aca="1" ref="G844" ca="1">INDEX($O$2:$O$34,INT(A844/$Z$1)+2)</f>
        <v>48.787066441536446</v>
      </c>
      <c r="H844">
        <f t="shared" ca="1" si="107"/>
        <v>-0.10986856894826635</v>
      </c>
      <c r="I844">
        <f t="shared" ca="1" si="108"/>
        <v>-1.0986856894826635</v>
      </c>
      <c r="J844" s="3">
        <f t="shared" ca="1" si="109"/>
        <v>51.204174958398305</v>
      </c>
      <c r="K844" s="3">
        <f t="shared" ca="1" si="110"/>
        <v>4.8561481662936501E-2</v>
      </c>
      <c r="L844" s="3"/>
    </row>
    <row r="845" spans="1:12" x14ac:dyDescent="0.3">
      <c r="A845">
        <v>843</v>
      </c>
      <c r="B845" s="2">
        <f t="shared" si="104"/>
        <v>46833.333333333336</v>
      </c>
      <c r="C845" s="2">
        <f t="shared" si="105"/>
        <v>3.523777211774565E-3</v>
      </c>
      <c r="D845" s="2">
        <f t="shared" si="106"/>
        <v>10.636386000380185</v>
      </c>
      <c r="E845" s="3">
        <f t="shared" si="111"/>
        <v>51.145494800684332</v>
      </c>
      <c r="F845" cm="1">
        <f t="array" aca="1" ref="F845" ca="1">INDEX($O$2:$O$34,INT(A845/$Z$1)+1)</f>
        <v>52.302860647880969</v>
      </c>
      <c r="G845" cm="1">
        <f t="array" aca="1" ref="G845" ca="1">INDEX($O$2:$O$34,INT(A845/$Z$1)+2)</f>
        <v>48.787066441536446</v>
      </c>
      <c r="H845">
        <f t="shared" ca="1" si="107"/>
        <v>-0.10986856894826635</v>
      </c>
      <c r="I845">
        <f t="shared" ca="1" si="108"/>
        <v>-1.2085542584309299</v>
      </c>
      <c r="J845" s="3">
        <f t="shared" ca="1" si="109"/>
        <v>51.09430638945004</v>
      </c>
      <c r="K845" s="3">
        <f t="shared" ca="1" si="110"/>
        <v>5.118841123429263E-2</v>
      </c>
      <c r="L845" s="3"/>
    </row>
    <row r="846" spans="1:12" x14ac:dyDescent="0.3">
      <c r="A846">
        <v>844</v>
      </c>
      <c r="B846" s="2">
        <f t="shared" si="104"/>
        <v>47150.837988826817</v>
      </c>
      <c r="C846" s="2">
        <f t="shared" si="105"/>
        <v>3.5245200842111031E-3</v>
      </c>
      <c r="D846" s="2">
        <f t="shared" si="106"/>
        <v>10.576571591896936</v>
      </c>
      <c r="E846" s="3">
        <f t="shared" si="111"/>
        <v>51.037828865414482</v>
      </c>
      <c r="F846" cm="1">
        <f t="array" aca="1" ref="F846" ca="1">INDEX($O$2:$O$34,INT(A846/$Z$1)+1)</f>
        <v>52.302860647880969</v>
      </c>
      <c r="G846" cm="1">
        <f t="array" aca="1" ref="G846" ca="1">INDEX($O$2:$O$34,INT(A846/$Z$1)+2)</f>
        <v>48.787066441536446</v>
      </c>
      <c r="H846">
        <f t="shared" ca="1" si="107"/>
        <v>-0.10986856894826635</v>
      </c>
      <c r="I846">
        <f t="shared" ca="1" si="108"/>
        <v>-1.3184228273791962</v>
      </c>
      <c r="J846" s="3">
        <f t="shared" ca="1" si="109"/>
        <v>50.984437820501775</v>
      </c>
      <c r="K846" s="3">
        <f t="shared" ca="1" si="110"/>
        <v>5.3391044912707741E-2</v>
      </c>
      <c r="L846" s="3"/>
    </row>
    <row r="847" spans="1:12" x14ac:dyDescent="0.3">
      <c r="A847">
        <v>845</v>
      </c>
      <c r="B847" s="2">
        <f t="shared" si="104"/>
        <v>47471.910112359554</v>
      </c>
      <c r="C847" s="2">
        <f t="shared" si="105"/>
        <v>3.5252662338300994E-3</v>
      </c>
      <c r="D847" s="2">
        <f t="shared" si="106"/>
        <v>10.51651868830038</v>
      </c>
      <c r="E847" s="3">
        <f t="shared" si="111"/>
        <v>50.929733638940682</v>
      </c>
      <c r="F847" cm="1">
        <f t="array" aca="1" ref="F847" ca="1">INDEX($O$2:$O$34,INT(A847/$Z$1)+1)</f>
        <v>52.302860647880969</v>
      </c>
      <c r="G847" cm="1">
        <f t="array" aca="1" ref="G847" ca="1">INDEX($O$2:$O$34,INT(A847/$Z$1)+2)</f>
        <v>48.787066441536446</v>
      </c>
      <c r="H847">
        <f t="shared" ca="1" si="107"/>
        <v>-0.10986856894826635</v>
      </c>
      <c r="I847">
        <f t="shared" ca="1" si="108"/>
        <v>-1.4282913963274626</v>
      </c>
      <c r="J847" s="3">
        <f t="shared" ca="1" si="109"/>
        <v>50.87456925155351</v>
      </c>
      <c r="K847" s="3">
        <f t="shared" ca="1" si="110"/>
        <v>5.5164387387172553E-2</v>
      </c>
      <c r="L847" s="3"/>
    </row>
    <row r="848" spans="1:12" x14ac:dyDescent="0.3">
      <c r="A848">
        <v>846</v>
      </c>
      <c r="B848" s="2">
        <f t="shared" si="104"/>
        <v>47796.610169491527</v>
      </c>
      <c r="C848" s="2">
        <f t="shared" si="105"/>
        <v>3.5260156996621043E-3</v>
      </c>
      <c r="D848" s="2">
        <f t="shared" si="106"/>
        <v>10.456224469116648</v>
      </c>
      <c r="E848" s="3">
        <f t="shared" si="111"/>
        <v>50.821204044409967</v>
      </c>
      <c r="F848" cm="1">
        <f t="array" aca="1" ref="F848" ca="1">INDEX($O$2:$O$34,INT(A848/$Z$1)+1)</f>
        <v>52.302860647880969</v>
      </c>
      <c r="G848" cm="1">
        <f t="array" aca="1" ref="G848" ca="1">INDEX($O$2:$O$34,INT(A848/$Z$1)+2)</f>
        <v>48.787066441536446</v>
      </c>
      <c r="H848">
        <f t="shared" ca="1" si="107"/>
        <v>-0.10986856894826635</v>
      </c>
      <c r="I848">
        <f t="shared" ca="1" si="108"/>
        <v>-1.538159965275729</v>
      </c>
      <c r="J848" s="3">
        <f t="shared" ca="1" si="109"/>
        <v>50.764700682605238</v>
      </c>
      <c r="K848" s="3">
        <f t="shared" ca="1" si="110"/>
        <v>5.6503361804729479E-2</v>
      </c>
      <c r="L848" s="3"/>
    </row>
    <row r="849" spans="1:12" x14ac:dyDescent="0.3">
      <c r="A849">
        <v>847</v>
      </c>
      <c r="B849" s="2">
        <f t="shared" si="104"/>
        <v>48125</v>
      </c>
      <c r="C849" s="2">
        <f t="shared" si="105"/>
        <v>3.5267685213935828E-3</v>
      </c>
      <c r="D849" s="2">
        <f t="shared" si="106"/>
        <v>10.395686067555005</v>
      </c>
      <c r="E849" s="3">
        <f t="shared" si="111"/>
        <v>50.712234921599006</v>
      </c>
      <c r="F849" cm="1">
        <f t="array" aca="1" ref="F849" ca="1">INDEX($O$2:$O$34,INT(A849/$Z$1)+1)</f>
        <v>52.302860647880969</v>
      </c>
      <c r="G849" cm="1">
        <f t="array" aca="1" ref="G849" ca="1">INDEX($O$2:$O$34,INT(A849/$Z$1)+2)</f>
        <v>48.787066441536446</v>
      </c>
      <c r="H849">
        <f t="shared" ca="1" si="107"/>
        <v>-0.10986856894826635</v>
      </c>
      <c r="I849">
        <f t="shared" ca="1" si="108"/>
        <v>-1.6480285342239953</v>
      </c>
      <c r="J849" s="3">
        <f t="shared" ca="1" si="109"/>
        <v>50.654832113656973</v>
      </c>
      <c r="K849" s="3">
        <f t="shared" ca="1" si="110"/>
        <v>5.7402807942033007E-2</v>
      </c>
      <c r="L849" s="3"/>
    </row>
    <row r="850" spans="1:12" x14ac:dyDescent="0.3">
      <c r="A850">
        <v>848</v>
      </c>
      <c r="B850" s="2">
        <f t="shared" si="104"/>
        <v>48457.142857142855</v>
      </c>
      <c r="C850" s="2">
        <f t="shared" si="105"/>
        <v>3.5275247393819023E-3</v>
      </c>
      <c r="D850" s="2">
        <f t="shared" si="106"/>
        <v>10.334900569463173</v>
      </c>
      <c r="E850" s="3">
        <f t="shared" si="111"/>
        <v>50.602821025033712</v>
      </c>
      <c r="F850" cm="1">
        <f t="array" aca="1" ref="F850" ca="1">INDEX($O$2:$O$34,INT(A850/$Z$1)+1)</f>
        <v>52.302860647880969</v>
      </c>
      <c r="G850" cm="1">
        <f t="array" aca="1" ref="G850" ca="1">INDEX($O$2:$O$34,INT(A850/$Z$1)+2)</f>
        <v>48.787066441536446</v>
      </c>
      <c r="H850">
        <f t="shared" ca="1" si="107"/>
        <v>-0.10986856894826635</v>
      </c>
      <c r="I850">
        <f t="shared" ca="1" si="108"/>
        <v>-1.7578971031722617</v>
      </c>
      <c r="J850" s="3">
        <f t="shared" ca="1" si="109"/>
        <v>50.544963544708708</v>
      </c>
      <c r="K850" s="3">
        <f t="shared" ca="1" si="110"/>
        <v>5.7857480325004929E-2</v>
      </c>
      <c r="L850" s="3"/>
    </row>
    <row r="851" spans="1:12" x14ac:dyDescent="0.3">
      <c r="A851">
        <v>849</v>
      </c>
      <c r="B851" s="2">
        <f t="shared" si="104"/>
        <v>48793.103448275862</v>
      </c>
      <c r="C851" s="2">
        <f t="shared" si="105"/>
        <v>3.5282843946707462E-3</v>
      </c>
      <c r="D851" s="2">
        <f t="shared" si="106"/>
        <v>10.273865012252941</v>
      </c>
      <c r="E851" s="3">
        <f t="shared" si="111"/>
        <v>50.492957022055293</v>
      </c>
      <c r="F851" cm="1">
        <f t="array" aca="1" ref="F851" ca="1">INDEX($O$2:$O$34,INT(A851/$Z$1)+1)</f>
        <v>52.302860647880969</v>
      </c>
      <c r="G851" cm="1">
        <f t="array" aca="1" ref="G851" ca="1">INDEX($O$2:$O$34,INT(A851/$Z$1)+2)</f>
        <v>48.787066441536446</v>
      </c>
      <c r="H851">
        <f t="shared" ca="1" si="107"/>
        <v>-0.10986856894826635</v>
      </c>
      <c r="I851">
        <f t="shared" ca="1" si="108"/>
        <v>-1.867765672120528</v>
      </c>
      <c r="J851" s="3">
        <f t="shared" ca="1" si="109"/>
        <v>50.435094975760443</v>
      </c>
      <c r="K851" s="3">
        <f t="shared" ca="1" si="110"/>
        <v>5.78620462948507E-2</v>
      </c>
      <c r="L851" s="3"/>
    </row>
    <row r="852" spans="1:12" x14ac:dyDescent="0.3">
      <c r="A852">
        <v>850</v>
      </c>
      <c r="B852" s="2">
        <f t="shared" si="104"/>
        <v>49132.947976878611</v>
      </c>
      <c r="C852" s="2">
        <f t="shared" si="105"/>
        <v>3.5290475290059727E-3</v>
      </c>
      <c r="D852" s="2">
        <f t="shared" si="106"/>
        <v>10.212576383795579</v>
      </c>
      <c r="E852" s="3">
        <f t="shared" si="111"/>
        <v>50.382637490832039</v>
      </c>
      <c r="F852" cm="1">
        <f t="array" aca="1" ref="F852" ca="1">INDEX($O$2:$O$34,INT(A852/$Z$1)+1)</f>
        <v>52.302860647880969</v>
      </c>
      <c r="G852" cm="1">
        <f t="array" aca="1" ref="G852" ca="1">INDEX($O$2:$O$34,INT(A852/$Z$1)+2)</f>
        <v>48.787066441536446</v>
      </c>
      <c r="H852">
        <f t="shared" ca="1" si="107"/>
        <v>-0.10986856894826635</v>
      </c>
      <c r="I852">
        <f t="shared" ca="1" si="108"/>
        <v>-1.9776342410687944</v>
      </c>
      <c r="J852" s="3">
        <f t="shared" ca="1" si="109"/>
        <v>50.325226406812178</v>
      </c>
      <c r="K852" s="3">
        <f t="shared" ca="1" si="110"/>
        <v>5.7411084019861391E-2</v>
      </c>
      <c r="L852" s="3"/>
    </row>
    <row r="853" spans="1:12" x14ac:dyDescent="0.3">
      <c r="A853">
        <v>851</v>
      </c>
      <c r="B853" s="2">
        <f t="shared" si="104"/>
        <v>49476.744186046511</v>
      </c>
      <c r="C853" s="2">
        <f t="shared" si="105"/>
        <v>3.5298141848519324E-3</v>
      </c>
      <c r="D853" s="2">
        <f t="shared" si="106"/>
        <v>10.151031621285711</v>
      </c>
      <c r="E853" s="3">
        <f t="shared" si="111"/>
        <v>50.271856918314278</v>
      </c>
      <c r="F853" cm="1">
        <f t="array" aca="1" ref="F853" ca="1">INDEX($O$2:$O$34,INT(A853/$Z$1)+1)</f>
        <v>52.302860647880969</v>
      </c>
      <c r="G853" cm="1">
        <f t="array" aca="1" ref="G853" ca="1">INDEX($O$2:$O$34,INT(A853/$Z$1)+2)</f>
        <v>48.787066441536446</v>
      </c>
      <c r="H853">
        <f t="shared" ca="1" si="107"/>
        <v>-0.10986856894826635</v>
      </c>
      <c r="I853">
        <f t="shared" ca="1" si="108"/>
        <v>-2.0875028100170607</v>
      </c>
      <c r="J853" s="3">
        <f t="shared" ca="1" si="109"/>
        <v>50.215357837863905</v>
      </c>
      <c r="K853" s="3">
        <f t="shared" ca="1" si="110"/>
        <v>5.6499080450372219E-2</v>
      </c>
      <c r="L853" s="3"/>
    </row>
    <row r="854" spans="1:12" x14ac:dyDescent="0.3">
      <c r="A854">
        <v>852</v>
      </c>
      <c r="B854" s="2">
        <f t="shared" si="104"/>
        <v>49824.561403508771</v>
      </c>
      <c r="C854" s="2">
        <f t="shared" si="105"/>
        <v>3.5305844054082636E-3</v>
      </c>
      <c r="D854" s="2">
        <f t="shared" si="106"/>
        <v>10.089227610071475</v>
      </c>
      <c r="E854" s="3">
        <f t="shared" si="111"/>
        <v>50.160609698128653</v>
      </c>
      <c r="F854" cm="1">
        <f t="array" aca="1" ref="F854" ca="1">INDEX($O$2:$O$34,INT(A854/$Z$1)+1)</f>
        <v>52.302860647880969</v>
      </c>
      <c r="G854" cm="1">
        <f t="array" aca="1" ref="G854" ca="1">INDEX($O$2:$O$34,INT(A854/$Z$1)+2)</f>
        <v>48.787066441536446</v>
      </c>
      <c r="H854">
        <f t="shared" ca="1" si="107"/>
        <v>-0.10986856894826635</v>
      </c>
      <c r="I854">
        <f t="shared" ca="1" si="108"/>
        <v>-2.1973713789653271</v>
      </c>
      <c r="J854" s="3">
        <f t="shared" ca="1" si="109"/>
        <v>50.10548926891564</v>
      </c>
      <c r="K854" s="3">
        <f t="shared" ca="1" si="110"/>
        <v>5.5120429213012301E-2</v>
      </c>
      <c r="L854" s="3"/>
    </row>
    <row r="855" spans="1:12" x14ac:dyDescent="0.3">
      <c r="A855">
        <v>853</v>
      </c>
      <c r="B855" s="2">
        <f t="shared" si="104"/>
        <v>50176.470588235294</v>
      </c>
      <c r="C855" s="2">
        <f t="shared" si="105"/>
        <v>3.5313582346271758E-3</v>
      </c>
      <c r="D855" s="2">
        <f t="shared" si="106"/>
        <v>10.027161182452346</v>
      </c>
      <c r="E855" s="3">
        <f t="shared" si="111"/>
        <v>50.048890128414222</v>
      </c>
      <c r="F855" cm="1">
        <f t="array" aca="1" ref="F855" ca="1">INDEX($O$2:$O$34,INT(A855/$Z$1)+1)</f>
        <v>52.302860647880969</v>
      </c>
      <c r="G855" cm="1">
        <f t="array" aca="1" ref="G855" ca="1">INDEX($O$2:$O$34,INT(A855/$Z$1)+2)</f>
        <v>48.787066441536446</v>
      </c>
      <c r="H855">
        <f t="shared" ca="1" si="107"/>
        <v>-0.10986856894826635</v>
      </c>
      <c r="I855">
        <f t="shared" ca="1" si="108"/>
        <v>-2.3072399479135934</v>
      </c>
      <c r="J855" s="3">
        <f t="shared" ca="1" si="109"/>
        <v>49.995620699967375</v>
      </c>
      <c r="K855" s="3">
        <f t="shared" ca="1" si="110"/>
        <v>5.3269428446846234E-2</v>
      </c>
      <c r="L855" s="3"/>
    </row>
    <row r="856" spans="1:12" x14ac:dyDescent="0.3">
      <c r="A856">
        <v>854</v>
      </c>
      <c r="B856" s="2">
        <f t="shared" si="104"/>
        <v>50532.544378698221</v>
      </c>
      <c r="C856" s="2">
        <f t="shared" si="105"/>
        <v>3.5321357172312471E-3</v>
      </c>
      <c r="D856" s="2">
        <f t="shared" si="106"/>
        <v>9.9648291164403986</v>
      </c>
      <c r="E856" s="3">
        <f t="shared" si="111"/>
        <v>49.936692409592716</v>
      </c>
      <c r="F856" cm="1">
        <f t="array" aca="1" ref="F856" ca="1">INDEX($O$2:$O$34,INT(A856/$Z$1)+1)</f>
        <v>52.302860647880969</v>
      </c>
      <c r="G856" cm="1">
        <f t="array" aca="1" ref="G856" ca="1">INDEX($O$2:$O$34,INT(A856/$Z$1)+2)</f>
        <v>48.787066441536446</v>
      </c>
      <c r="H856">
        <f t="shared" ca="1" si="107"/>
        <v>-0.10986856894826635</v>
      </c>
      <c r="I856">
        <f t="shared" ca="1" si="108"/>
        <v>-2.4171085168618598</v>
      </c>
      <c r="J856" s="3">
        <f t="shared" ca="1" si="109"/>
        <v>49.88575213101911</v>
      </c>
      <c r="K856" s="3">
        <f t="shared" ca="1" si="110"/>
        <v>5.0940278573605724E-2</v>
      </c>
      <c r="L856" s="3"/>
    </row>
    <row r="857" spans="1:12" x14ac:dyDescent="0.3">
      <c r="A857">
        <v>855</v>
      </c>
      <c r="B857" s="2">
        <f t="shared" si="104"/>
        <v>50892.857142857145</v>
      </c>
      <c r="C857" s="2">
        <f t="shared" si="105"/>
        <v>3.532916898731748E-3</v>
      </c>
      <c r="D857" s="2">
        <f t="shared" si="106"/>
        <v>9.9022281344861653</v>
      </c>
      <c r="E857" s="3">
        <f t="shared" si="111"/>
        <v>49.824010642075095</v>
      </c>
      <c r="F857" cm="1">
        <f t="array" aca="1" ref="F857" ca="1">INDEX($O$2:$O$34,INT(A857/$Z$1)+1)</f>
        <v>52.302860647880969</v>
      </c>
      <c r="G857" cm="1">
        <f t="array" aca="1" ref="G857" ca="1">INDEX($O$2:$O$34,INT(A857/$Z$1)+2)</f>
        <v>48.787066441536446</v>
      </c>
      <c r="H857">
        <f t="shared" ca="1" si="107"/>
        <v>-0.10986856894826635</v>
      </c>
      <c r="I857">
        <f t="shared" ca="1" si="108"/>
        <v>-2.5269770858101261</v>
      </c>
      <c r="J857" s="3">
        <f t="shared" ca="1" si="109"/>
        <v>49.775883562070845</v>
      </c>
      <c r="K857" s="3">
        <f t="shared" ca="1" si="110"/>
        <v>4.8127080004249478E-2</v>
      </c>
      <c r="L857" s="3"/>
    </row>
    <row r="858" spans="1:12" x14ac:dyDescent="0.3">
      <c r="A858">
        <v>856</v>
      </c>
      <c r="B858" s="2">
        <f t="shared" si="104"/>
        <v>51257.485029940122</v>
      </c>
      <c r="C858" s="2">
        <f t="shared" si="105"/>
        <v>3.53370182544751E-3</v>
      </c>
      <c r="D858" s="2">
        <f t="shared" si="106"/>
        <v>9.8393549021668036</v>
      </c>
      <c r="E858" s="3">
        <f t="shared" si="111"/>
        <v>49.710838823900247</v>
      </c>
      <c r="F858" cm="1">
        <f t="array" aca="1" ref="F858" ca="1">INDEX($O$2:$O$34,INT(A858/$Z$1)+1)</f>
        <v>52.302860647880969</v>
      </c>
      <c r="G858" cm="1">
        <f t="array" aca="1" ref="G858" ca="1">INDEX($O$2:$O$34,INT(A858/$Z$1)+2)</f>
        <v>48.787066441536446</v>
      </c>
      <c r="H858">
        <f t="shared" ca="1" si="107"/>
        <v>-0.10986856894826635</v>
      </c>
      <c r="I858">
        <f t="shared" ca="1" si="108"/>
        <v>-2.6368456547583925</v>
      </c>
      <c r="J858" s="3">
        <f t="shared" ca="1" si="109"/>
        <v>49.666014993122573</v>
      </c>
      <c r="K858" s="3">
        <f t="shared" ca="1" si="110"/>
        <v>4.4823830777673379E-2</v>
      </c>
      <c r="L858" s="3"/>
    </row>
    <row r="859" spans="1:12" x14ac:dyDescent="0.3">
      <c r="A859">
        <v>857</v>
      </c>
      <c r="B859" s="2">
        <f t="shared" si="104"/>
        <v>51626.506024096387</v>
      </c>
      <c r="C859" s="2">
        <f t="shared" si="105"/>
        <v>3.5344905445243639E-3</v>
      </c>
      <c r="D859" s="2">
        <f t="shared" si="106"/>
        <v>9.7762060268349273</v>
      </c>
      <c r="E859" s="3">
        <f t="shared" si="111"/>
        <v>49.597170848302866</v>
      </c>
      <c r="F859" cm="1">
        <f t="array" aca="1" ref="F859" ca="1">INDEX($O$2:$O$34,INT(A859/$Z$1)+1)</f>
        <v>52.302860647880969</v>
      </c>
      <c r="G859" cm="1">
        <f t="array" aca="1" ref="G859" ca="1">INDEX($O$2:$O$34,INT(A859/$Z$1)+2)</f>
        <v>48.787066441536446</v>
      </c>
      <c r="H859">
        <f t="shared" ca="1" si="107"/>
        <v>-0.10986856894826635</v>
      </c>
      <c r="I859">
        <f t="shared" ca="1" si="108"/>
        <v>-2.7467142237066589</v>
      </c>
      <c r="J859" s="3">
        <f t="shared" ca="1" si="109"/>
        <v>49.556146424174308</v>
      </c>
      <c r="K859" s="3">
        <f t="shared" ca="1" si="110"/>
        <v>4.1024424128558223E-2</v>
      </c>
      <c r="L859" s="3"/>
    </row>
    <row r="860" spans="1:12" x14ac:dyDescent="0.3">
      <c r="A860">
        <v>858</v>
      </c>
      <c r="B860" s="2">
        <f t="shared" si="104"/>
        <v>52000</v>
      </c>
      <c r="C860" s="2">
        <f t="shared" si="105"/>
        <v>3.5352831039551632E-3</v>
      </c>
      <c r="D860" s="2">
        <f t="shared" si="106"/>
        <v>9.7127780562274211</v>
      </c>
      <c r="E860" s="3">
        <f t="shared" si="111"/>
        <v>49.483000501209361</v>
      </c>
      <c r="F860" cm="1">
        <f t="array" aca="1" ref="F860" ca="1">INDEX($O$2:$O$34,INT(A860/$Z$1)+1)</f>
        <v>52.302860647880969</v>
      </c>
      <c r="G860" cm="1">
        <f t="array" aca="1" ref="G860" ca="1">INDEX($O$2:$O$34,INT(A860/$Z$1)+2)</f>
        <v>48.787066441536446</v>
      </c>
      <c r="H860">
        <f t="shared" ca="1" si="107"/>
        <v>-0.10986856894826635</v>
      </c>
      <c r="I860">
        <f t="shared" ca="1" si="108"/>
        <v>-2.8565827926549252</v>
      </c>
      <c r="J860" s="3">
        <f t="shared" ca="1" si="109"/>
        <v>49.446277855226043</v>
      </c>
      <c r="K860" s="3">
        <f t="shared" ca="1" si="110"/>
        <v>3.6722645983317648E-2</v>
      </c>
      <c r="L860" s="3"/>
    </row>
    <row r="861" spans="1:12" x14ac:dyDescent="0.3">
      <c r="A861">
        <v>859</v>
      </c>
      <c r="B861" s="2">
        <f t="shared" si="104"/>
        <v>52378.048780487807</v>
      </c>
      <c r="C861" s="2">
        <f t="shared" si="105"/>
        <v>3.5360795526004152E-3</v>
      </c>
      <c r="D861" s="2">
        <f t="shared" si="106"/>
        <v>9.6490674770325882</v>
      </c>
      <c r="E861" s="3">
        <f t="shared" si="111"/>
        <v>49.368321458658656</v>
      </c>
      <c r="F861" cm="1">
        <f t="array" aca="1" ref="F861" ca="1">INDEX($O$2:$O$34,INT(A861/$Z$1)+1)</f>
        <v>52.302860647880969</v>
      </c>
      <c r="G861" cm="1">
        <f t="array" aca="1" ref="G861" ca="1">INDEX($O$2:$O$34,INT(A861/$Z$1)+2)</f>
        <v>48.787066441536446</v>
      </c>
      <c r="H861">
        <f t="shared" ca="1" si="107"/>
        <v>-0.10986856894826635</v>
      </c>
      <c r="I861">
        <f t="shared" ca="1" si="108"/>
        <v>-2.9664513616031916</v>
      </c>
      <c r="J861" s="3">
        <f t="shared" ca="1" si="109"/>
        <v>49.336409286277778</v>
      </c>
      <c r="K861" s="3">
        <f t="shared" ca="1" si="110"/>
        <v>3.1912172380877735E-2</v>
      </c>
      <c r="L861" s="3"/>
    </row>
    <row r="862" spans="1:12" x14ac:dyDescent="0.3">
      <c r="A862">
        <v>860</v>
      </c>
      <c r="B862" s="2">
        <f t="shared" si="104"/>
        <v>52760.73619631902</v>
      </c>
      <c r="C862" s="2">
        <f t="shared" si="105"/>
        <v>3.5368799402095454E-3</v>
      </c>
      <c r="D862" s="2">
        <f t="shared" si="106"/>
        <v>9.5850707134136428</v>
      </c>
      <c r="E862" s="3">
        <f t="shared" si="111"/>
        <v>49.253127284144554</v>
      </c>
      <c r="F862" cm="1">
        <f t="array" aca="1" ref="F862" ca="1">INDEX($O$2:$O$34,INT(A862/$Z$1)+1)</f>
        <v>52.302860647880969</v>
      </c>
      <c r="G862" cm="1">
        <f t="array" aca="1" ref="G862" ca="1">INDEX($O$2:$O$34,INT(A862/$Z$1)+2)</f>
        <v>48.787066441536446</v>
      </c>
      <c r="H862">
        <f t="shared" ca="1" si="107"/>
        <v>-0.10986856894826635</v>
      </c>
      <c r="I862">
        <f t="shared" ca="1" si="108"/>
        <v>-3.0763199305514579</v>
      </c>
      <c r="J862" s="3">
        <f t="shared" ca="1" si="109"/>
        <v>49.226540717329513</v>
      </c>
      <c r="K862" s="3">
        <f t="shared" ca="1" si="110"/>
        <v>2.6586566815041124E-2</v>
      </c>
      <c r="L862" s="3"/>
    </row>
    <row r="863" spans="1:12" x14ac:dyDescent="0.3">
      <c r="A863">
        <v>861</v>
      </c>
      <c r="B863" s="2">
        <f t="shared" si="104"/>
        <v>53148.148148148146</v>
      </c>
      <c r="C863" s="2">
        <f t="shared" si="105"/>
        <v>3.5376843174428148E-3</v>
      </c>
      <c r="D863" s="2">
        <f t="shared" si="106"/>
        <v>9.5207841254874097</v>
      </c>
      <c r="E863" s="3">
        <f t="shared" si="111"/>
        <v>49.137411425877339</v>
      </c>
      <c r="F863" cm="1">
        <f t="array" aca="1" ref="F863" ca="1">INDEX($O$2:$O$34,INT(A863/$Z$1)+1)</f>
        <v>52.302860647880969</v>
      </c>
      <c r="G863" cm="1">
        <f t="array" aca="1" ref="G863" ca="1">INDEX($O$2:$O$34,INT(A863/$Z$1)+2)</f>
        <v>48.787066441536446</v>
      </c>
      <c r="H863">
        <f t="shared" ca="1" si="107"/>
        <v>-0.10986856894826635</v>
      </c>
      <c r="I863">
        <f t="shared" ca="1" si="108"/>
        <v>-3.1861884994997243</v>
      </c>
      <c r="J863" s="3">
        <f t="shared" ca="1" si="109"/>
        <v>49.116672148381248</v>
      </c>
      <c r="K863" s="3">
        <f t="shared" ca="1" si="110"/>
        <v>2.0739277496090835E-2</v>
      </c>
      <c r="L863" s="3"/>
    </row>
    <row r="864" spans="1:12" x14ac:dyDescent="0.3">
      <c r="A864">
        <v>862</v>
      </c>
      <c r="B864" s="2">
        <f t="shared" si="104"/>
        <v>53540.372670807454</v>
      </c>
      <c r="C864" s="2">
        <f t="shared" si="105"/>
        <v>3.5384927358939134E-3</v>
      </c>
      <c r="D864" s="2">
        <f t="shared" si="106"/>
        <v>9.4562040077565825</v>
      </c>
      <c r="E864" s="3">
        <f t="shared" si="111"/>
        <v>49.021167213961846</v>
      </c>
      <c r="F864" cm="1">
        <f t="array" aca="1" ref="F864" ca="1">INDEX($O$2:$O$34,INT(A864/$Z$1)+1)</f>
        <v>52.302860647880969</v>
      </c>
      <c r="G864" cm="1">
        <f t="array" aca="1" ref="G864" ca="1">INDEX($O$2:$O$34,INT(A864/$Z$1)+2)</f>
        <v>48.787066441536446</v>
      </c>
      <c r="H864">
        <f t="shared" ca="1" si="107"/>
        <v>-0.10986856894826635</v>
      </c>
      <c r="I864">
        <f t="shared" ca="1" si="108"/>
        <v>-3.2960570684479906</v>
      </c>
      <c r="J864" s="3">
        <f t="shared" ca="1" si="109"/>
        <v>49.006803579432976</v>
      </c>
      <c r="K864" s="3">
        <f t="shared" ca="1" si="110"/>
        <v>1.4363634528869795E-2</v>
      </c>
      <c r="L864" s="3"/>
    </row>
    <row r="865" spans="1:12" x14ac:dyDescent="0.3">
      <c r="A865">
        <v>863</v>
      </c>
      <c r="B865" s="2">
        <f t="shared" si="104"/>
        <v>53937.5</v>
      </c>
      <c r="C865" s="2">
        <f t="shared" si="105"/>
        <v>3.5393052481132608E-3</v>
      </c>
      <c r="D865" s="2">
        <f t="shared" si="106"/>
        <v>9.3913265874939498</v>
      </c>
      <c r="E865" s="3">
        <f t="shared" si="111"/>
        <v>48.904387857489112</v>
      </c>
      <c r="F865" cm="1">
        <f t="array" aca="1" ref="F865" ca="1">INDEX($O$2:$O$34,INT(A865/$Z$1)+1)</f>
        <v>52.302860647880969</v>
      </c>
      <c r="G865" cm="1">
        <f t="array" aca="1" ref="G865" ca="1">INDEX($O$2:$O$34,INT(A865/$Z$1)+2)</f>
        <v>48.787066441536446</v>
      </c>
      <c r="H865">
        <f t="shared" ca="1" si="107"/>
        <v>-0.10986856894826635</v>
      </c>
      <c r="I865">
        <f t="shared" ca="1" si="108"/>
        <v>-3.405925637396257</v>
      </c>
      <c r="J865" s="3">
        <f t="shared" ca="1" si="109"/>
        <v>48.896935010484711</v>
      </c>
      <c r="K865" s="3">
        <f t="shared" ca="1" si="110"/>
        <v>7.4528470044015194E-3</v>
      </c>
      <c r="L865" s="3"/>
    </row>
    <row r="866" spans="1:12" x14ac:dyDescent="0.3">
      <c r="A866">
        <v>864</v>
      </c>
      <c r="B866" s="2">
        <f t="shared" si="104"/>
        <v>54339.622641509435</v>
      </c>
      <c r="C866" s="2">
        <f t="shared" si="105"/>
        <v>3.5401219076320344E-3</v>
      </c>
      <c r="D866" s="2">
        <f t="shared" si="106"/>
        <v>9.3261480230758025</v>
      </c>
      <c r="E866" s="3">
        <f t="shared" si="111"/>
        <v>48.787066441536446</v>
      </c>
      <c r="F866" cm="1">
        <f t="array" aca="1" ref="F866" ca="1">INDEX($O$2:$O$34,INT(A866/$Z$1)+1)</f>
        <v>48.787066441536446</v>
      </c>
      <c r="G866" cm="1">
        <f t="array" aca="1" ref="G866" ca="1">INDEX($O$2:$O$34,INT(A866/$Z$1)+2)</f>
        <v>44.697309950495971</v>
      </c>
      <c r="H866">
        <f t="shared" ca="1" si="107"/>
        <v>-0.12780489034501485</v>
      </c>
      <c r="I866">
        <f t="shared" ca="1" si="108"/>
        <v>0</v>
      </c>
      <c r="J866" s="3">
        <f t="shared" ca="1" si="109"/>
        <v>48.787066441536446</v>
      </c>
      <c r="K866" s="3">
        <f t="shared" ca="1" si="110"/>
        <v>0</v>
      </c>
      <c r="L866" s="3"/>
    </row>
    <row r="867" spans="1:12" x14ac:dyDescent="0.3">
      <c r="A867">
        <v>865</v>
      </c>
      <c r="B867" s="2">
        <f t="shared" si="104"/>
        <v>54746.835443037977</v>
      </c>
      <c r="C867" s="2">
        <f t="shared" si="105"/>
        <v>3.5409427689869584E-3</v>
      </c>
      <c r="D867" s="2">
        <f t="shared" si="106"/>
        <v>9.2606644022642399</v>
      </c>
      <c r="E867" s="3">
        <f t="shared" si="111"/>
        <v>48.66919592407563</v>
      </c>
      <c r="F867" cm="1">
        <f t="array" aca="1" ref="F867" ca="1">INDEX($O$2:$O$34,INT(A867/$Z$1)+1)</f>
        <v>48.787066441536446</v>
      </c>
      <c r="G867" cm="1">
        <f t="array" aca="1" ref="G867" ca="1">INDEX($O$2:$O$34,INT(A867/$Z$1)+2)</f>
        <v>44.697309950495971</v>
      </c>
      <c r="H867">
        <f t="shared" ca="1" si="107"/>
        <v>-0.12780489034501485</v>
      </c>
      <c r="I867">
        <f t="shared" ca="1" si="108"/>
        <v>-0.12780489034501485</v>
      </c>
      <c r="J867" s="3">
        <f t="shared" ca="1" si="109"/>
        <v>48.659261551191435</v>
      </c>
      <c r="K867" s="3">
        <f t="shared" ca="1" si="110"/>
        <v>9.9343728841958523E-3</v>
      </c>
      <c r="L867" s="3"/>
    </row>
    <row r="868" spans="1:12" x14ac:dyDescent="0.3">
      <c r="A868">
        <v>866</v>
      </c>
      <c r="B868" s="2">
        <f t="shared" si="104"/>
        <v>55159.235668789806</v>
      </c>
      <c r="C868" s="2">
        <f t="shared" si="105"/>
        <v>3.5417678877458754E-3</v>
      </c>
      <c r="D868" s="2">
        <f t="shared" si="106"/>
        <v>9.1948717404348486</v>
      </c>
      <c r="E868" s="3">
        <f t="shared" si="111"/>
        <v>48.550769132782726</v>
      </c>
      <c r="F868" cm="1">
        <f t="array" aca="1" ref="F868" ca="1">INDEX($O$2:$O$34,INT(A868/$Z$1)+1)</f>
        <v>48.787066441536446</v>
      </c>
      <c r="G868" cm="1">
        <f t="array" aca="1" ref="G868" ca="1">INDEX($O$2:$O$34,INT(A868/$Z$1)+2)</f>
        <v>44.697309950495971</v>
      </c>
      <c r="H868">
        <f t="shared" ca="1" si="107"/>
        <v>-0.12780489034501485</v>
      </c>
      <c r="I868">
        <f t="shared" ca="1" si="108"/>
        <v>-0.25560978069002971</v>
      </c>
      <c r="J868" s="3">
        <f t="shared" ca="1" si="109"/>
        <v>48.531456660846416</v>
      </c>
      <c r="K868" s="3">
        <f t="shared" ca="1" si="110"/>
        <v>1.9312471936309805E-2</v>
      </c>
      <c r="L868" s="3"/>
    </row>
    <row r="869" spans="1:12" x14ac:dyDescent="0.3">
      <c r="A869">
        <v>867</v>
      </c>
      <c r="B869" s="2">
        <f t="shared" si="104"/>
        <v>55576.923076923078</v>
      </c>
      <c r="C869" s="2">
        <f t="shared" si="105"/>
        <v>3.5425973205341376E-3</v>
      </c>
      <c r="D869" s="2">
        <f t="shared" si="106"/>
        <v>9.1287659787492998</v>
      </c>
      <c r="E869" s="3">
        <f t="shared" si="111"/>
        <v>48.431778761748738</v>
      </c>
      <c r="F869" cm="1">
        <f t="array" aca="1" ref="F869" ca="1">INDEX($O$2:$O$34,INT(A869/$Z$1)+1)</f>
        <v>48.787066441536446</v>
      </c>
      <c r="G869" cm="1">
        <f t="array" aca="1" ref="G869" ca="1">INDEX($O$2:$O$34,INT(A869/$Z$1)+2)</f>
        <v>44.697309950495971</v>
      </c>
      <c r="H869">
        <f t="shared" ca="1" si="107"/>
        <v>-0.12780489034501485</v>
      </c>
      <c r="I869">
        <f t="shared" ca="1" si="108"/>
        <v>-0.38341467103504456</v>
      </c>
      <c r="J869" s="3">
        <f t="shared" ca="1" si="109"/>
        <v>48.403651770501398</v>
      </c>
      <c r="K869" s="3">
        <f t="shared" ca="1" si="110"/>
        <v>2.8126991247340527E-2</v>
      </c>
      <c r="L869" s="3"/>
    </row>
    <row r="870" spans="1:12" x14ac:dyDescent="0.3">
      <c r="A870">
        <v>868</v>
      </c>
      <c r="B870" s="2">
        <f t="shared" si="104"/>
        <v>56000</v>
      </c>
      <c r="C870" s="2">
        <f t="shared" si="105"/>
        <v>3.5434311250618468E-3</v>
      </c>
      <c r="D870" s="2">
        <f t="shared" si="106"/>
        <v>9.0623429822686603</v>
      </c>
      <c r="E870" s="3">
        <f t="shared" si="111"/>
        <v>48.312217368083587</v>
      </c>
      <c r="F870" cm="1">
        <f t="array" aca="1" ref="F870" ca="1">INDEX($O$2:$O$34,INT(A870/$Z$1)+1)</f>
        <v>48.787066441536446</v>
      </c>
      <c r="G870" cm="1">
        <f t="array" aca="1" ref="G870" ca="1">INDEX($O$2:$O$34,INT(A870/$Z$1)+2)</f>
        <v>44.697309950495971</v>
      </c>
      <c r="H870">
        <f t="shared" ca="1" si="107"/>
        <v>-0.12780489034501485</v>
      </c>
      <c r="I870">
        <f t="shared" ca="1" si="108"/>
        <v>-0.51121956138005942</v>
      </c>
      <c r="J870" s="3">
        <f t="shared" ca="1" si="109"/>
        <v>48.275846880156386</v>
      </c>
      <c r="K870" s="3">
        <f t="shared" ca="1" si="110"/>
        <v>3.6370487927200656E-2</v>
      </c>
      <c r="L870" s="3"/>
    </row>
    <row r="871" spans="1:12" x14ac:dyDescent="0.3">
      <c r="A871">
        <v>869</v>
      </c>
      <c r="B871" s="2">
        <f t="shared" si="104"/>
        <v>56428.571428571428</v>
      </c>
      <c r="C871" s="2">
        <f t="shared" si="105"/>
        <v>3.5442693601519743E-3</v>
      </c>
      <c r="D871" s="2">
        <f t="shared" si="106"/>
        <v>8.9955985380076413</v>
      </c>
      <c r="E871" s="3">
        <f t="shared" si="111"/>
        <v>48.192077368413756</v>
      </c>
      <c r="F871" cm="1">
        <f t="array" aca="1" ref="F871" ca="1">INDEX($O$2:$O$34,INT(A871/$Z$1)+1)</f>
        <v>48.787066441536446</v>
      </c>
      <c r="G871" cm="1">
        <f t="array" aca="1" ref="G871" ca="1">INDEX($O$2:$O$34,INT(A871/$Z$1)+2)</f>
        <v>44.697309950495971</v>
      </c>
      <c r="H871">
        <f t="shared" ca="1" si="107"/>
        <v>-0.12780489034501485</v>
      </c>
      <c r="I871">
        <f t="shared" ca="1" si="108"/>
        <v>-0.63902445172507427</v>
      </c>
      <c r="J871" s="3">
        <f t="shared" ca="1" si="109"/>
        <v>48.148041989811375</v>
      </c>
      <c r="K871" s="3">
        <f t="shared" ca="1" si="110"/>
        <v>4.4035378602380604E-2</v>
      </c>
      <c r="L871" s="3"/>
    </row>
    <row r="872" spans="1:12" x14ac:dyDescent="0.3">
      <c r="A872">
        <v>870</v>
      </c>
      <c r="B872" s="2">
        <f t="shared" si="104"/>
        <v>56862.745098039217</v>
      </c>
      <c r="C872" s="2">
        <f t="shared" si="105"/>
        <v>3.5451120857693959E-3</v>
      </c>
      <c r="D872" s="2">
        <f t="shared" si="106"/>
        <v>8.9285283529251274</v>
      </c>
      <c r="E872" s="3">
        <f t="shared" si="111"/>
        <v>48.071351035265231</v>
      </c>
      <c r="F872" cm="1">
        <f t="array" aca="1" ref="F872" ca="1">INDEX($O$2:$O$34,INT(A872/$Z$1)+1)</f>
        <v>48.787066441536446</v>
      </c>
      <c r="G872" cm="1">
        <f t="array" aca="1" ref="G872" ca="1">INDEX($O$2:$O$34,INT(A872/$Z$1)+2)</f>
        <v>44.697309950495971</v>
      </c>
      <c r="H872">
        <f t="shared" ca="1" si="107"/>
        <v>-0.12780489034501485</v>
      </c>
      <c r="I872">
        <f t="shared" ca="1" si="108"/>
        <v>-0.76682934207008913</v>
      </c>
      <c r="J872" s="3">
        <f t="shared" ca="1" si="109"/>
        <v>48.020237099466357</v>
      </c>
      <c r="K872" s="3">
        <f t="shared" ca="1" si="110"/>
        <v>5.1113935798873911E-2</v>
      </c>
      <c r="L872" s="3"/>
    </row>
    <row r="873" spans="1:12" x14ac:dyDescent="0.3">
      <c r="A873">
        <v>871</v>
      </c>
      <c r="B873" s="2">
        <f t="shared" si="104"/>
        <v>57302.631578947367</v>
      </c>
      <c r="C873" s="2">
        <f t="shared" si="105"/>
        <v>3.5459593630508823E-3</v>
      </c>
      <c r="D873" s="2">
        <f t="shared" si="106"/>
        <v>8.8611280518503577</v>
      </c>
      <c r="E873" s="3">
        <f t="shared" si="111"/>
        <v>47.950030493330644</v>
      </c>
      <c r="F873" cm="1">
        <f t="array" aca="1" ref="F873" ca="1">INDEX($O$2:$O$34,INT(A873/$Z$1)+1)</f>
        <v>48.787066441536446</v>
      </c>
      <c r="G873" cm="1">
        <f t="array" aca="1" ref="G873" ca="1">INDEX($O$2:$O$34,INT(A873/$Z$1)+2)</f>
        <v>44.697309950495971</v>
      </c>
      <c r="H873">
        <f t="shared" ca="1" si="107"/>
        <v>-0.12780489034501485</v>
      </c>
      <c r="I873">
        <f t="shared" ca="1" si="108"/>
        <v>-0.89463423241510398</v>
      </c>
      <c r="J873" s="3">
        <f t="shared" ca="1" si="109"/>
        <v>47.892432209121338</v>
      </c>
      <c r="K873" s="3">
        <f t="shared" ca="1" si="110"/>
        <v>5.7598284209305461E-2</v>
      </c>
      <c r="L873" s="3"/>
    </row>
    <row r="874" spans="1:12" x14ac:dyDescent="0.3">
      <c r="A874">
        <v>872</v>
      </c>
      <c r="B874" s="2">
        <f t="shared" si="104"/>
        <v>57748.344370860927</v>
      </c>
      <c r="C874" s="2">
        <f t="shared" si="105"/>
        <v>3.5468112543360739E-3</v>
      </c>
      <c r="D874" s="2">
        <f t="shared" si="106"/>
        <v>8.7933931753410093</v>
      </c>
      <c r="E874" s="3">
        <f t="shared" si="111"/>
        <v>47.828107715613818</v>
      </c>
      <c r="F874" cm="1">
        <f t="array" aca="1" ref="F874" ca="1">INDEX($O$2:$O$34,INT(A874/$Z$1)+1)</f>
        <v>48.787066441536446</v>
      </c>
      <c r="G874" cm="1">
        <f t="array" aca="1" ref="G874" ca="1">INDEX($O$2:$O$34,INT(A874/$Z$1)+2)</f>
        <v>44.697309950495971</v>
      </c>
      <c r="H874">
        <f t="shared" ca="1" si="107"/>
        <v>-0.12780489034501485</v>
      </c>
      <c r="I874">
        <f t="shared" ca="1" si="108"/>
        <v>-1.0224391227601188</v>
      </c>
      <c r="J874" s="3">
        <f t="shared" ca="1" si="109"/>
        <v>47.764627318776327</v>
      </c>
      <c r="K874" s="3">
        <f t="shared" ca="1" si="110"/>
        <v>6.3480396837491071E-2</v>
      </c>
      <c r="L874" s="3"/>
    </row>
    <row r="875" spans="1:12" x14ac:dyDescent="0.3">
      <c r="A875">
        <v>873</v>
      </c>
      <c r="B875" s="2">
        <f t="shared" si="104"/>
        <v>58200</v>
      </c>
      <c r="C875" s="2">
        <f t="shared" si="105"/>
        <v>3.5476678231994895E-3</v>
      </c>
      <c r="D875" s="2">
        <f t="shared" si="106"/>
        <v>8.7253191774710785</v>
      </c>
      <c r="E875" s="3">
        <f t="shared" si="111"/>
        <v>47.705574519447943</v>
      </c>
      <c r="F875" cm="1">
        <f t="array" aca="1" ref="F875" ca="1">INDEX($O$2:$O$34,INT(A875/$Z$1)+1)</f>
        <v>48.787066441536446</v>
      </c>
      <c r="G875" cm="1">
        <f t="array" aca="1" ref="G875" ca="1">INDEX($O$2:$O$34,INT(A875/$Z$1)+2)</f>
        <v>44.697309950495971</v>
      </c>
      <c r="H875">
        <f t="shared" ca="1" si="107"/>
        <v>-0.12780489034501485</v>
      </c>
      <c r="I875">
        <f t="shared" ca="1" si="108"/>
        <v>-1.1502440131051337</v>
      </c>
      <c r="J875" s="3">
        <f t="shared" ca="1" si="109"/>
        <v>47.636822428431316</v>
      </c>
      <c r="K875" s="3">
        <f t="shared" ca="1" si="110"/>
        <v>6.8752091016627048E-2</v>
      </c>
      <c r="L875" s="3"/>
    </row>
    <row r="876" spans="1:12" x14ac:dyDescent="0.3">
      <c r="A876">
        <v>874</v>
      </c>
      <c r="B876" s="2">
        <f t="shared" si="104"/>
        <v>58657.718120805366</v>
      </c>
      <c r="C876" s="2">
        <f t="shared" si="105"/>
        <v>3.5485291344836008E-3</v>
      </c>
      <c r="D876" s="2">
        <f t="shared" si="106"/>
        <v>8.6569014235457189</v>
      </c>
      <c r="E876" s="3">
        <f t="shared" si="111"/>
        <v>47.582422562382291</v>
      </c>
      <c r="F876" cm="1">
        <f t="array" aca="1" ref="F876" ca="1">INDEX($O$2:$O$34,INT(A876/$Z$1)+1)</f>
        <v>48.787066441536446</v>
      </c>
      <c r="G876" cm="1">
        <f t="array" aca="1" ref="G876" ca="1">INDEX($O$2:$O$34,INT(A876/$Z$1)+2)</f>
        <v>44.697309950495971</v>
      </c>
      <c r="H876">
        <f t="shared" ca="1" si="107"/>
        <v>-0.12780489034501485</v>
      </c>
      <c r="I876">
        <f t="shared" ca="1" si="108"/>
        <v>-1.2780489034501485</v>
      </c>
      <c r="J876" s="3">
        <f t="shared" ca="1" si="109"/>
        <v>47.509017538086297</v>
      </c>
      <c r="K876" s="3">
        <f t="shared" ca="1" si="110"/>
        <v>7.3405024295993826E-2</v>
      </c>
      <c r="L876" s="3"/>
    </row>
    <row r="877" spans="1:12" x14ac:dyDescent="0.3">
      <c r="A877">
        <v>875</v>
      </c>
      <c r="B877" s="2">
        <f t="shared" si="104"/>
        <v>59121.62162162162</v>
      </c>
      <c r="C877" s="2">
        <f t="shared" si="105"/>
        <v>3.5493952543330255E-3</v>
      </c>
      <c r="D877" s="2">
        <f t="shared" si="106"/>
        <v>8.5881351877397947</v>
      </c>
      <c r="E877" s="3">
        <f t="shared" si="111"/>
        <v>47.458643337931633</v>
      </c>
      <c r="F877" cm="1">
        <f t="array" aca="1" ref="F877" ca="1">INDEX($O$2:$O$34,INT(A877/$Z$1)+1)</f>
        <v>48.787066441536446</v>
      </c>
      <c r="G877" cm="1">
        <f t="array" aca="1" ref="G877" ca="1">INDEX($O$2:$O$34,INT(A877/$Z$1)+2)</f>
        <v>44.697309950495971</v>
      </c>
      <c r="H877">
        <f t="shared" ca="1" si="107"/>
        <v>-0.12780489034501485</v>
      </c>
      <c r="I877">
        <f t="shared" ca="1" si="108"/>
        <v>-1.4058537937951634</v>
      </c>
      <c r="J877" s="3">
        <f t="shared" ca="1" si="109"/>
        <v>47.381212647741279</v>
      </c>
      <c r="K877" s="3">
        <f t="shared" ca="1" si="110"/>
        <v>7.7430690190354312E-2</v>
      </c>
      <c r="L877" s="3"/>
    </row>
    <row r="878" spans="1:12" x14ac:dyDescent="0.3">
      <c r="A878">
        <v>876</v>
      </c>
      <c r="B878" s="2">
        <f t="shared" si="104"/>
        <v>59591.836734693876</v>
      </c>
      <c r="C878" s="2">
        <f t="shared" si="105"/>
        <v>3.5502662502298731E-3</v>
      </c>
      <c r="D878" s="2">
        <f t="shared" si="106"/>
        <v>8.5190156506577068</v>
      </c>
      <c r="E878" s="3">
        <f t="shared" si="111"/>
        <v>47.334228171183874</v>
      </c>
      <c r="F878" cm="1">
        <f t="array" aca="1" ref="F878" ca="1">INDEX($O$2:$O$34,INT(A878/$Z$1)+1)</f>
        <v>48.787066441536446</v>
      </c>
      <c r="G878" cm="1">
        <f t="array" aca="1" ref="G878" ca="1">INDEX($O$2:$O$34,INT(A878/$Z$1)+2)</f>
        <v>44.697309950495971</v>
      </c>
      <c r="H878">
        <f t="shared" ca="1" si="107"/>
        <v>-0.12780489034501485</v>
      </c>
      <c r="I878">
        <f t="shared" ca="1" si="108"/>
        <v>-1.5336586841401783</v>
      </c>
      <c r="J878" s="3">
        <f t="shared" ca="1" si="109"/>
        <v>47.253407757396268</v>
      </c>
      <c r="K878" s="3">
        <f t="shared" ca="1" si="110"/>
        <v>8.0820413787606071E-2</v>
      </c>
      <c r="L878" s="3"/>
    </row>
    <row r="879" spans="1:12" x14ac:dyDescent="0.3">
      <c r="A879">
        <v>877</v>
      </c>
      <c r="B879" s="2">
        <f t="shared" si="104"/>
        <v>60068.493150684932</v>
      </c>
      <c r="C879" s="2">
        <f t="shared" si="105"/>
        <v>3.5511421910303033E-3</v>
      </c>
      <c r="D879" s="2">
        <f t="shared" si="106"/>
        <v>8.449537896810341</v>
      </c>
      <c r="E879" s="3">
        <f t="shared" si="111"/>
        <v>47.209168214258611</v>
      </c>
      <c r="F879" cm="1">
        <f t="array" aca="1" ref="F879" ca="1">INDEX($O$2:$O$34,INT(A879/$Z$1)+1)</f>
        <v>48.787066441536446</v>
      </c>
      <c r="G879" cm="1">
        <f t="array" aca="1" ref="G879" ca="1">INDEX($O$2:$O$34,INT(A879/$Z$1)+2)</f>
        <v>44.697309950495971</v>
      </c>
      <c r="H879">
        <f t="shared" ca="1" si="107"/>
        <v>-0.12780489034501485</v>
      </c>
      <c r="I879">
        <f t="shared" ca="1" si="108"/>
        <v>-1.6614635744851931</v>
      </c>
      <c r="J879" s="3">
        <f t="shared" ca="1" si="109"/>
        <v>47.125602867051256</v>
      </c>
      <c r="K879" s="3">
        <f t="shared" ca="1" si="110"/>
        <v>8.3565347207354534E-2</v>
      </c>
      <c r="L879" s="3"/>
    </row>
    <row r="880" spans="1:12" x14ac:dyDescent="0.3">
      <c r="A880">
        <v>878</v>
      </c>
      <c r="B880" s="2">
        <f t="shared" si="104"/>
        <v>60551.724137931036</v>
      </c>
      <c r="C880" s="2">
        <f t="shared" si="105"/>
        <v>3.5520231470023349E-3</v>
      </c>
      <c r="D880" s="2">
        <f t="shared" si="106"/>
        <v>8.3796969120068638</v>
      </c>
      <c r="E880" s="3">
        <f t="shared" si="111"/>
        <v>47.083454441612353</v>
      </c>
      <c r="F880" cm="1">
        <f t="array" aca="1" ref="F880" ca="1">INDEX($O$2:$O$34,INT(A880/$Z$1)+1)</f>
        <v>48.787066441536446</v>
      </c>
      <c r="G880" cm="1">
        <f t="array" aca="1" ref="G880" ca="1">INDEX($O$2:$O$34,INT(A880/$Z$1)+2)</f>
        <v>44.697309950495971</v>
      </c>
      <c r="H880">
        <f t="shared" ca="1" si="107"/>
        <v>-0.12780489034501485</v>
      </c>
      <c r="I880">
        <f t="shared" ca="1" si="108"/>
        <v>-1.789268464830208</v>
      </c>
      <c r="J880" s="3">
        <f t="shared" ca="1" si="109"/>
        <v>46.997797976706238</v>
      </c>
      <c r="K880" s="3">
        <f t="shared" ca="1" si="110"/>
        <v>8.5656464906115559E-2</v>
      </c>
      <c r="L880" s="3"/>
    </row>
    <row r="881" spans="1:12" x14ac:dyDescent="0.3">
      <c r="A881">
        <v>879</v>
      </c>
      <c r="B881" s="2">
        <f t="shared" si="104"/>
        <v>61041.666666666664</v>
      </c>
      <c r="C881" s="2">
        <f t="shared" si="105"/>
        <v>3.5529091898649661E-3</v>
      </c>
      <c r="D881" s="2">
        <f t="shared" si="106"/>
        <v>8.309487580656878</v>
      </c>
      <c r="E881" s="3">
        <f t="shared" si="111"/>
        <v>46.95707764518238</v>
      </c>
      <c r="F881" cm="1">
        <f t="array" aca="1" ref="F881" ca="1">INDEX($O$2:$O$34,INT(A881/$Z$1)+1)</f>
        <v>48.787066441536446</v>
      </c>
      <c r="G881" cm="1">
        <f t="array" aca="1" ref="G881" ca="1">INDEX($O$2:$O$34,INT(A881/$Z$1)+2)</f>
        <v>44.697309950495971</v>
      </c>
      <c r="H881">
        <f t="shared" ca="1" si="107"/>
        <v>-0.12780489034501485</v>
      </c>
      <c r="I881">
        <f t="shared" ca="1" si="108"/>
        <v>-1.9170733551752228</v>
      </c>
      <c r="J881" s="3">
        <f t="shared" ca="1" si="109"/>
        <v>46.86999308636122</v>
      </c>
      <c r="K881" s="3">
        <f t="shared" ca="1" si="110"/>
        <v>8.708455882116084E-2</v>
      </c>
      <c r="L881" s="3"/>
    </row>
    <row r="882" spans="1:12" x14ac:dyDescent="0.3">
      <c r="A882">
        <v>880</v>
      </c>
      <c r="B882" s="2">
        <f t="shared" si="104"/>
        <v>61538.461538461539</v>
      </c>
      <c r="C882" s="2">
        <f t="shared" si="105"/>
        <v>3.5538003928286587E-3</v>
      </c>
      <c r="D882" s="2">
        <f t="shared" si="106"/>
        <v>8.2389046829799213</v>
      </c>
      <c r="E882" s="3">
        <f t="shared" si="111"/>
        <v>46.830028429363857</v>
      </c>
      <c r="F882" cm="1">
        <f t="array" aca="1" ref="F882" ca="1">INDEX($O$2:$O$34,INT(A882/$Z$1)+1)</f>
        <v>48.787066441536446</v>
      </c>
      <c r="G882" cm="1">
        <f t="array" aca="1" ref="G882" ca="1">INDEX($O$2:$O$34,INT(A882/$Z$1)+2)</f>
        <v>44.697309950495971</v>
      </c>
      <c r="H882">
        <f t="shared" ca="1" si="107"/>
        <v>-0.12780489034501485</v>
      </c>
      <c r="I882">
        <f t="shared" ca="1" si="108"/>
        <v>-2.0448782455202377</v>
      </c>
      <c r="J882" s="3">
        <f t="shared" ca="1" si="109"/>
        <v>46.742188196016208</v>
      </c>
      <c r="K882" s="3">
        <f t="shared" ca="1" si="110"/>
        <v>8.7840233347648677E-2</v>
      </c>
      <c r="L882" s="3"/>
    </row>
    <row r="883" spans="1:12" x14ac:dyDescent="0.3">
      <c r="A883">
        <v>881</v>
      </c>
      <c r="B883" s="2">
        <f t="shared" si="104"/>
        <v>62042.25352112676</v>
      </c>
      <c r="C883" s="2">
        <f t="shared" si="105"/>
        <v>3.5546968306372369E-3</v>
      </c>
      <c r="D883" s="2">
        <f t="shared" si="106"/>
        <v>8.1679428921182762</v>
      </c>
      <c r="E883" s="3">
        <f t="shared" si="111"/>
        <v>46.702297205812897</v>
      </c>
      <c r="F883" cm="1">
        <f t="array" aca="1" ref="F883" ca="1">INDEX($O$2:$O$34,INT(A883/$Z$1)+1)</f>
        <v>48.787066441536446</v>
      </c>
      <c r="G883" cm="1">
        <f t="array" aca="1" ref="G883" ca="1">INDEX($O$2:$O$34,INT(A883/$Z$1)+2)</f>
        <v>44.697309950495971</v>
      </c>
      <c r="H883">
        <f t="shared" ca="1" si="107"/>
        <v>-0.12780489034501485</v>
      </c>
      <c r="I883">
        <f t="shared" ca="1" si="108"/>
        <v>-2.1726831358652525</v>
      </c>
      <c r="J883" s="3">
        <f t="shared" ca="1" si="109"/>
        <v>46.614383305671197</v>
      </c>
      <c r="K883" s="3">
        <f t="shared" ca="1" si="110"/>
        <v>8.7913900141700196E-2</v>
      </c>
      <c r="L883" s="3"/>
    </row>
    <row r="884" spans="1:12" x14ac:dyDescent="0.3">
      <c r="A884">
        <v>882</v>
      </c>
      <c r="B884" s="2">
        <f t="shared" si="104"/>
        <v>62553.191489361699</v>
      </c>
      <c r="C884" s="2">
        <f t="shared" si="105"/>
        <v>3.5555985796112744E-3</v>
      </c>
      <c r="D884" s="2">
        <f t="shared" si="106"/>
        <v>8.09659677114837</v>
      </c>
      <c r="E884" s="3">
        <f t="shared" si="111"/>
        <v>46.573874188067066</v>
      </c>
      <c r="F884" cm="1">
        <f t="array" aca="1" ref="F884" ca="1">INDEX($O$2:$O$34,INT(A884/$Z$1)+1)</f>
        <v>48.787066441536446</v>
      </c>
      <c r="G884" cm="1">
        <f t="array" aca="1" ref="G884" ca="1">INDEX($O$2:$O$34,INT(A884/$Z$1)+2)</f>
        <v>44.697309950495971</v>
      </c>
      <c r="H884">
        <f t="shared" ca="1" si="107"/>
        <v>-0.12780489034501485</v>
      </c>
      <c r="I884">
        <f t="shared" ca="1" si="108"/>
        <v>-2.3004880262102674</v>
      </c>
      <c r="J884" s="3">
        <f t="shared" ca="1" si="109"/>
        <v>46.486578415326179</v>
      </c>
      <c r="K884" s="3">
        <f t="shared" ca="1" si="110"/>
        <v>8.7295772740887401E-2</v>
      </c>
      <c r="L884" s="3"/>
    </row>
    <row r="885" spans="1:12" x14ac:dyDescent="0.3">
      <c r="A885">
        <v>883</v>
      </c>
      <c r="B885" s="2">
        <f t="shared" si="104"/>
        <v>63071.428571428572</v>
      </c>
      <c r="C885" s="2">
        <f t="shared" si="105"/>
        <v>3.5565057176930189E-3</v>
      </c>
      <c r="D885" s="2">
        <f t="shared" si="106"/>
        <v>8.0248607699878107</v>
      </c>
      <c r="E885" s="3">
        <f t="shared" si="111"/>
        <v>46.444749385978056</v>
      </c>
      <c r="F885" cm="1">
        <f t="array" aca="1" ref="F885" ca="1">INDEX($O$2:$O$34,INT(A885/$Z$1)+1)</f>
        <v>48.787066441536446</v>
      </c>
      <c r="G885" cm="1">
        <f t="array" aca="1" ref="G885" ca="1">INDEX($O$2:$O$34,INT(A885/$Z$1)+2)</f>
        <v>44.697309950495971</v>
      </c>
      <c r="H885">
        <f t="shared" ca="1" si="107"/>
        <v>-0.12780489034501485</v>
      </c>
      <c r="I885">
        <f t="shared" ca="1" si="108"/>
        <v>-2.4282929165552822</v>
      </c>
      <c r="J885" s="3">
        <f t="shared" ca="1" si="109"/>
        <v>46.35877352498116</v>
      </c>
      <c r="K885" s="3">
        <f t="shared" ca="1" si="110"/>
        <v>8.5975860996896358E-2</v>
      </c>
      <c r="L885" s="3"/>
    </row>
    <row r="886" spans="1:12" x14ac:dyDescent="0.3">
      <c r="A886">
        <v>884</v>
      </c>
      <c r="B886" s="2">
        <f t="shared" si="104"/>
        <v>63597.12230215827</v>
      </c>
      <c r="C886" s="2">
        <f t="shared" si="105"/>
        <v>3.5574183244929296E-3</v>
      </c>
      <c r="D886" s="2">
        <f t="shared" si="106"/>
        <v>7.9527292221920334</v>
      </c>
      <c r="E886" s="3">
        <f t="shared" si="111"/>
        <v>46.314912599945657</v>
      </c>
      <c r="F886" cm="1">
        <f t="array" aca="1" ref="F886" ca="1">INDEX($O$2:$O$34,INT(A886/$Z$1)+1)</f>
        <v>48.787066441536446</v>
      </c>
      <c r="G886" cm="1">
        <f t="array" aca="1" ref="G886" ca="1">INDEX($O$2:$O$34,INT(A886/$Z$1)+2)</f>
        <v>44.697309950495971</v>
      </c>
      <c r="H886">
        <f t="shared" ca="1" si="107"/>
        <v>-0.12780489034501485</v>
      </c>
      <c r="I886">
        <f t="shared" ca="1" si="108"/>
        <v>-2.5560978069002971</v>
      </c>
      <c r="J886" s="3">
        <f t="shared" ca="1" si="109"/>
        <v>46.230968634636149</v>
      </c>
      <c r="K886" s="3">
        <f t="shared" ca="1" si="110"/>
        <v>8.3943965309508428E-2</v>
      </c>
      <c r="L886" s="3"/>
    </row>
    <row r="887" spans="1:12" x14ac:dyDescent="0.3">
      <c r="A887">
        <v>885</v>
      </c>
      <c r="B887" s="2">
        <f t="shared" si="104"/>
        <v>64130.434782608696</v>
      </c>
      <c r="C887" s="2">
        <f t="shared" si="105"/>
        <v>3.5583364813378945E-3</v>
      </c>
      <c r="D887" s="2">
        <f t="shared" si="106"/>
        <v>7.8801963416375429</v>
      </c>
      <c r="E887" s="3">
        <f t="shared" si="111"/>
        <v>46.18435341494758</v>
      </c>
      <c r="F887" cm="1">
        <f t="array" aca="1" ref="F887" ca="1">INDEX($O$2:$O$34,INT(A887/$Z$1)+1)</f>
        <v>48.787066441536446</v>
      </c>
      <c r="G887" cm="1">
        <f t="array" aca="1" ref="G887" ca="1">INDEX($O$2:$O$34,INT(A887/$Z$1)+2)</f>
        <v>44.697309950495971</v>
      </c>
      <c r="H887">
        <f t="shared" ca="1" si="107"/>
        <v>-0.12780489034501485</v>
      </c>
      <c r="I887">
        <f t="shared" ca="1" si="108"/>
        <v>-2.6839026972453119</v>
      </c>
      <c r="J887" s="3">
        <f t="shared" ca="1" si="109"/>
        <v>46.103163744291138</v>
      </c>
      <c r="K887" s="3">
        <f t="shared" ca="1" si="110"/>
        <v>8.1189670656442559E-2</v>
      </c>
      <c r="L887" s="3"/>
    </row>
    <row r="888" spans="1:12" x14ac:dyDescent="0.3">
      <c r="A888">
        <v>886</v>
      </c>
      <c r="B888" s="2">
        <f t="shared" si="104"/>
        <v>64671.53284671533</v>
      </c>
      <c r="C888" s="2">
        <f t="shared" si="105"/>
        <v>3.5592602713211997E-3</v>
      </c>
      <c r="D888" s="2">
        <f t="shared" si="106"/>
        <v>7.8072562190849339</v>
      </c>
      <c r="E888" s="3">
        <f t="shared" si="111"/>
        <v>46.053061194352878</v>
      </c>
      <c r="F888" cm="1">
        <f t="array" aca="1" ref="F888" ca="1">INDEX($O$2:$O$34,INT(A888/$Z$1)+1)</f>
        <v>48.787066441536446</v>
      </c>
      <c r="G888" cm="1">
        <f t="array" aca="1" ref="G888" ca="1">INDEX($O$2:$O$34,INT(A888/$Z$1)+2)</f>
        <v>44.697309950495971</v>
      </c>
      <c r="H888">
        <f t="shared" ca="1" si="107"/>
        <v>-0.12780489034501485</v>
      </c>
      <c r="I888">
        <f t="shared" ca="1" si="108"/>
        <v>-2.8117075875903268</v>
      </c>
      <c r="J888" s="3">
        <f t="shared" ca="1" si="109"/>
        <v>45.975358853946119</v>
      </c>
      <c r="K888" s="3">
        <f t="shared" ca="1" si="110"/>
        <v>7.7702340406759163E-2</v>
      </c>
      <c r="L888" s="3"/>
    </row>
    <row r="889" spans="1:12" x14ac:dyDescent="0.3">
      <c r="A889">
        <v>887</v>
      </c>
      <c r="B889" s="2">
        <f t="shared" si="104"/>
        <v>65220.588235294119</v>
      </c>
      <c r="C889" s="2">
        <f t="shared" si="105"/>
        <v>3.5601897793543303E-3</v>
      </c>
      <c r="D889" s="2">
        <f t="shared" si="106"/>
        <v>7.7339028186183896</v>
      </c>
      <c r="E889" s="3">
        <f t="shared" si="111"/>
        <v>45.9210250735131</v>
      </c>
      <c r="F889" cm="1">
        <f t="array" aca="1" ref="F889" ca="1">INDEX($O$2:$O$34,INT(A889/$Z$1)+1)</f>
        <v>48.787066441536446</v>
      </c>
      <c r="G889" cm="1">
        <f t="array" aca="1" ref="G889" ca="1">INDEX($O$2:$O$34,INT(A889/$Z$1)+2)</f>
        <v>44.697309950495971</v>
      </c>
      <c r="H889">
        <f t="shared" ca="1" si="107"/>
        <v>-0.12780489034501485</v>
      </c>
      <c r="I889">
        <f t="shared" ca="1" si="108"/>
        <v>-2.9395124779353416</v>
      </c>
      <c r="J889" s="3">
        <f t="shared" ca="1" si="109"/>
        <v>45.847553963601101</v>
      </c>
      <c r="K889" s="3">
        <f t="shared" ca="1" si="110"/>
        <v>7.3471109911999122E-2</v>
      </c>
      <c r="L889" s="3"/>
    </row>
    <row r="890" spans="1:12" x14ac:dyDescent="0.3">
      <c r="A890">
        <v>888</v>
      </c>
      <c r="B890" s="2">
        <f t="shared" si="104"/>
        <v>65777.777777777781</v>
      </c>
      <c r="C890" s="2">
        <f t="shared" si="105"/>
        <v>3.5611250922206808E-3</v>
      </c>
      <c r="D890" s="2">
        <f t="shared" si="106"/>
        <v>7.660129973954497</v>
      </c>
      <c r="E890" s="3">
        <f t="shared" si="111"/>
        <v>45.788233953118095</v>
      </c>
      <c r="F890" cm="1">
        <f t="array" aca="1" ref="F890" ca="1">INDEX($O$2:$O$34,INT(A890/$Z$1)+1)</f>
        <v>48.787066441536446</v>
      </c>
      <c r="G890" cm="1">
        <f t="array" aca="1" ref="G890" ca="1">INDEX($O$2:$O$34,INT(A890/$Z$1)+2)</f>
        <v>44.697309950495971</v>
      </c>
      <c r="H890">
        <f t="shared" ca="1" si="107"/>
        <v>-0.12780489034501485</v>
      </c>
      <c r="I890">
        <f t="shared" ca="1" si="108"/>
        <v>-3.0673173682803565</v>
      </c>
      <c r="J890" s="3">
        <f t="shared" ca="1" si="109"/>
        <v>45.719749073256089</v>
      </c>
      <c r="K890" s="3">
        <f t="shared" ca="1" si="110"/>
        <v>6.8484879862005243E-2</v>
      </c>
      <c r="L890" s="3"/>
    </row>
    <row r="891" spans="1:12" x14ac:dyDescent="0.3">
      <c r="A891">
        <v>889</v>
      </c>
      <c r="B891" s="2">
        <f t="shared" si="104"/>
        <v>66343.283582089556</v>
      </c>
      <c r="C891" s="2">
        <f t="shared" si="105"/>
        <v>3.562066298631266E-3</v>
      </c>
      <c r="D891" s="2">
        <f t="shared" si="106"/>
        <v>7.5859313846159466</v>
      </c>
      <c r="E891" s="3">
        <f t="shared" si="111"/>
        <v>45.654676492308703</v>
      </c>
      <c r="F891" cm="1">
        <f t="array" aca="1" ref="F891" ca="1">INDEX($O$2:$O$34,INT(A891/$Z$1)+1)</f>
        <v>48.787066441536446</v>
      </c>
      <c r="G891" cm="1">
        <f t="array" aca="1" ref="G891" ca="1">INDEX($O$2:$O$34,INT(A891/$Z$1)+2)</f>
        <v>44.697309950495971</v>
      </c>
      <c r="H891">
        <f t="shared" ca="1" si="107"/>
        <v>-0.12780489034501485</v>
      </c>
      <c r="I891">
        <f t="shared" ca="1" si="108"/>
        <v>-3.1951222586253714</v>
      </c>
      <c r="J891" s="3">
        <f t="shared" ca="1" si="109"/>
        <v>45.591944182911078</v>
      </c>
      <c r="K891" s="3">
        <f t="shared" ca="1" si="110"/>
        <v>6.2732309397624419E-2</v>
      </c>
      <c r="L891" s="3"/>
    </row>
    <row r="892" spans="1:12" x14ac:dyDescent="0.3">
      <c r="A892">
        <v>890</v>
      </c>
      <c r="B892" s="2">
        <f t="shared" si="104"/>
        <v>66917.293233082702</v>
      </c>
      <c r="C892" s="2">
        <f t="shared" si="105"/>
        <v>3.5630134892825119E-3</v>
      </c>
      <c r="D892" s="2">
        <f t="shared" si="106"/>
        <v>7.5113006119635202</v>
      </c>
      <c r="E892" s="3">
        <f t="shared" si="111"/>
        <v>45.520341101534335</v>
      </c>
      <c r="F892" cm="1">
        <f t="array" aca="1" ref="F892" ca="1">INDEX($O$2:$O$34,INT(A892/$Z$1)+1)</f>
        <v>48.787066441536446</v>
      </c>
      <c r="G892" cm="1">
        <f t="array" aca="1" ref="G892" ca="1">INDEX($O$2:$O$34,INT(A892/$Z$1)+2)</f>
        <v>44.697309950495971</v>
      </c>
      <c r="H892">
        <f t="shared" ca="1" si="107"/>
        <v>-0.12780489034501485</v>
      </c>
      <c r="I892">
        <f t="shared" ca="1" si="108"/>
        <v>-3.3229271489703862</v>
      </c>
      <c r="J892" s="3">
        <f t="shared" ca="1" si="109"/>
        <v>45.46413929256606</v>
      </c>
      <c r="K892" s="3">
        <f t="shared" ca="1" si="110"/>
        <v>5.6201808968275202E-2</v>
      </c>
      <c r="L892" s="3"/>
    </row>
    <row r="893" spans="1:12" x14ac:dyDescent="0.3">
      <c r="A893">
        <v>891</v>
      </c>
      <c r="B893" s="2">
        <f t="shared" si="104"/>
        <v>67500</v>
      </c>
      <c r="C893" s="2">
        <f t="shared" si="105"/>
        <v>3.5639667569162328E-3</v>
      </c>
      <c r="D893" s="2">
        <f t="shared" si="106"/>
        <v>7.4362310750796041</v>
      </c>
      <c r="E893" s="3">
        <f t="shared" si="111"/>
        <v>45.385215935143286</v>
      </c>
      <c r="F893" cm="1">
        <f t="array" aca="1" ref="F893" ca="1">INDEX($O$2:$O$34,INT(A893/$Z$1)+1)</f>
        <v>48.787066441536446</v>
      </c>
      <c r="G893" cm="1">
        <f t="array" aca="1" ref="G893" ca="1">INDEX($O$2:$O$34,INT(A893/$Z$1)+2)</f>
        <v>44.697309950495971</v>
      </c>
      <c r="H893">
        <f t="shared" ca="1" si="107"/>
        <v>-0.12780489034501485</v>
      </c>
      <c r="I893">
        <f t="shared" ca="1" si="108"/>
        <v>-3.4507320393154011</v>
      </c>
      <c r="J893" s="3">
        <f t="shared" ca="1" si="109"/>
        <v>45.336334402221041</v>
      </c>
      <c r="K893" s="3">
        <f t="shared" ca="1" si="110"/>
        <v>4.888153292224473E-2</v>
      </c>
      <c r="L893" s="3"/>
    </row>
    <row r="894" spans="1:12" x14ac:dyDescent="0.3">
      <c r="A894">
        <v>892</v>
      </c>
      <c r="B894" s="2">
        <f t="shared" si="104"/>
        <v>68091.603053435116</v>
      </c>
      <c r="C894" s="2">
        <f t="shared" si="105"/>
        <v>3.5649261963818868E-3</v>
      </c>
      <c r="D894" s="2">
        <f t="shared" si="106"/>
        <v>7.3607160464975436</v>
      </c>
      <c r="E894" s="3">
        <f t="shared" si="111"/>
        <v>45.249288883695577</v>
      </c>
      <c r="F894" cm="1">
        <f t="array" aca="1" ref="F894" ca="1">INDEX($O$2:$O$34,INT(A894/$Z$1)+1)</f>
        <v>48.787066441536446</v>
      </c>
      <c r="G894" cm="1">
        <f t="array" aca="1" ref="G894" ca="1">INDEX($O$2:$O$34,INT(A894/$Z$1)+2)</f>
        <v>44.697309950495971</v>
      </c>
      <c r="H894">
        <f t="shared" ca="1" si="107"/>
        <v>-0.12780489034501485</v>
      </c>
      <c r="I894">
        <f t="shared" ca="1" si="108"/>
        <v>-3.5785369296604159</v>
      </c>
      <c r="J894" s="3">
        <f t="shared" ca="1" si="109"/>
        <v>45.20852951187603</v>
      </c>
      <c r="K894" s="3">
        <f t="shared" ca="1" si="110"/>
        <v>4.0759371819547141E-2</v>
      </c>
      <c r="L894" s="3"/>
    </row>
    <row r="895" spans="1:12" x14ac:dyDescent="0.3">
      <c r="A895">
        <v>893</v>
      </c>
      <c r="B895" s="2">
        <f t="shared" si="104"/>
        <v>68692.307692307688</v>
      </c>
      <c r="C895" s="2">
        <f t="shared" si="105"/>
        <v>3.5658919047012161E-3</v>
      </c>
      <c r="D895" s="2">
        <f t="shared" si="106"/>
        <v>7.2847486477691064</v>
      </c>
      <c r="E895" s="3">
        <f t="shared" si="111"/>
        <v>45.112547565984393</v>
      </c>
      <c r="F895" cm="1">
        <f t="array" aca="1" ref="F895" ca="1">INDEX($O$2:$O$34,INT(A895/$Z$1)+1)</f>
        <v>48.787066441536446</v>
      </c>
      <c r="G895" cm="1">
        <f t="array" aca="1" ref="G895" ca="1">INDEX($O$2:$O$34,INT(A895/$Z$1)+2)</f>
        <v>44.697309950495971</v>
      </c>
      <c r="H895">
        <f t="shared" ca="1" si="107"/>
        <v>-0.12780489034501485</v>
      </c>
      <c r="I895">
        <f t="shared" ca="1" si="108"/>
        <v>-3.7063418200054308</v>
      </c>
      <c r="J895" s="3">
        <f t="shared" ca="1" si="109"/>
        <v>45.080724621531019</v>
      </c>
      <c r="K895" s="3">
        <f t="shared" ca="1" si="110"/>
        <v>3.1822944453374191E-2</v>
      </c>
      <c r="L895" s="3"/>
    </row>
    <row r="896" spans="1:12" x14ac:dyDescent="0.3">
      <c r="A896">
        <v>894</v>
      </c>
      <c r="B896" s="2">
        <f t="shared" si="104"/>
        <v>69302.325581395344</v>
      </c>
      <c r="C896" s="2">
        <f t="shared" si="105"/>
        <v>3.566863981135383E-3</v>
      </c>
      <c r="D896" s="2">
        <f t="shared" si="106"/>
        <v>7.2083218448621551</v>
      </c>
      <c r="E896" s="3">
        <f t="shared" si="111"/>
        <v>44.974979320751878</v>
      </c>
      <c r="F896" cm="1">
        <f t="array" aca="1" ref="F896" ca="1">INDEX($O$2:$O$34,INT(A896/$Z$1)+1)</f>
        <v>48.787066441536446</v>
      </c>
      <c r="G896" cm="1">
        <f t="array" aca="1" ref="G896" ca="1">INDEX($O$2:$O$34,INT(A896/$Z$1)+2)</f>
        <v>44.697309950495971</v>
      </c>
      <c r="H896">
        <f t="shared" ca="1" si="107"/>
        <v>-0.12780489034501485</v>
      </c>
      <c r="I896">
        <f t="shared" ca="1" si="108"/>
        <v>-3.8341467103504456</v>
      </c>
      <c r="J896" s="3">
        <f t="shared" ca="1" si="109"/>
        <v>44.952919731186</v>
      </c>
      <c r="K896" s="3">
        <f t="shared" ca="1" si="110"/>
        <v>2.2059589565877502E-2</v>
      </c>
      <c r="L896" s="3"/>
    </row>
    <row r="897" spans="1:12" x14ac:dyDescent="0.3">
      <c r="A897">
        <v>895</v>
      </c>
      <c r="B897" s="2">
        <f t="shared" si="104"/>
        <v>69921.875</v>
      </c>
      <c r="C897" s="2">
        <f t="shared" si="105"/>
        <v>3.5678425272547185E-3</v>
      </c>
      <c r="D897" s="2">
        <f t="shared" si="106"/>
        <v>7.1314284433824469</v>
      </c>
      <c r="E897" s="3">
        <f t="shared" si="111"/>
        <v>44.836571198088407</v>
      </c>
      <c r="F897" cm="1">
        <f t="array" aca="1" ref="F897" ca="1">INDEX($O$2:$O$34,INT(A897/$Z$1)+1)</f>
        <v>48.787066441536446</v>
      </c>
      <c r="G897" cm="1">
        <f t="array" aca="1" ref="G897" ca="1">INDEX($O$2:$O$34,INT(A897/$Z$1)+2)</f>
        <v>44.697309950495971</v>
      </c>
      <c r="H897">
        <f t="shared" ca="1" si="107"/>
        <v>-0.12780489034501485</v>
      </c>
      <c r="I897">
        <f t="shared" ca="1" si="108"/>
        <v>-3.9619516006954605</v>
      </c>
      <c r="J897" s="3">
        <f t="shared" ca="1" si="109"/>
        <v>44.825114840840982</v>
      </c>
      <c r="K897" s="3">
        <f t="shared" ca="1" si="110"/>
        <v>1.1456357247425331E-2</v>
      </c>
      <c r="L897" s="3"/>
    </row>
    <row r="898" spans="1:12" x14ac:dyDescent="0.3">
      <c r="A898">
        <v>896</v>
      </c>
      <c r="B898" s="2">
        <f t="shared" ref="B898:B961" si="112">$T$1*A898/($V$1-A898)</f>
        <v>70551.181102362199</v>
      </c>
      <c r="C898" s="2">
        <f t="shared" ref="C898:C961" si="113">LOG(B898/$T$2)/$T$3 + (1/$X$2)</f>
        <v>3.568827647011206E-3</v>
      </c>
      <c r="D898" s="2">
        <f t="shared" ref="D898:D961" si="114">1/C898 - 273.15</f>
        <v>7.0540610836088717</v>
      </c>
      <c r="E898" s="3">
        <f t="shared" si="111"/>
        <v>44.697309950495971</v>
      </c>
      <c r="F898" cm="1">
        <f t="array" aca="1" ref="F898" ca="1">INDEX($O$2:$O$34,INT(A898/$Z$1)+1)</f>
        <v>44.697309950495971</v>
      </c>
      <c r="G898" cm="1">
        <f t="array" aca="1" ref="G898" ca="1">INDEX($O$2:$O$34,INT(A898/$Z$1)+2)</f>
        <v>39.691249961273414</v>
      </c>
      <c r="H898">
        <f t="shared" ca="1" si="107"/>
        <v>-0.1564393746632049</v>
      </c>
      <c r="I898">
        <f t="shared" ca="1" si="108"/>
        <v>0</v>
      </c>
      <c r="J898" s="3">
        <f t="shared" ca="1" si="109"/>
        <v>44.697309950495971</v>
      </c>
      <c r="K898" s="3">
        <f t="shared" ca="1" si="110"/>
        <v>0</v>
      </c>
      <c r="L898" s="3"/>
    </row>
    <row r="899" spans="1:12" x14ac:dyDescent="0.3">
      <c r="A899">
        <v>897</v>
      </c>
      <c r="B899" s="2">
        <f t="shared" si="112"/>
        <v>71190.476190476184</v>
      </c>
      <c r="C899" s="2">
        <f t="shared" si="113"/>
        <v>3.5698194468138287E-3</v>
      </c>
      <c r="D899" s="2">
        <f t="shared" si="114"/>
        <v>6.9762122353359359</v>
      </c>
      <c r="E899" s="3">
        <f t="shared" si="111"/>
        <v>44.557182023604682</v>
      </c>
      <c r="F899" cm="1">
        <f t="array" aca="1" ref="F899" ca="1">INDEX($O$2:$O$34,INT(A899/$Z$1)+1)</f>
        <v>44.697309950495971</v>
      </c>
      <c r="G899" cm="1">
        <f t="array" aca="1" ref="G899" ca="1">INDEX($O$2:$O$34,INT(A899/$Z$1)+2)</f>
        <v>39.691249961273414</v>
      </c>
      <c r="H899">
        <f t="shared" ref="H899:H962" ca="1" si="115">(G899-F899)/$Z$1</f>
        <v>-0.1564393746632049</v>
      </c>
      <c r="I899">
        <f t="shared" ref="I899:I962" ca="1" si="116">H899*MOD(A899,$Z$1)</f>
        <v>-0.1564393746632049</v>
      </c>
      <c r="J899" s="3">
        <f t="shared" ref="J899:J962" ca="1" si="117">F899+I899</f>
        <v>44.540870575832763</v>
      </c>
      <c r="K899" s="3">
        <f t="shared" ref="K899:K962" ca="1" si="118">E899-J899</f>
        <v>1.6311447771919063E-2</v>
      </c>
      <c r="L899" s="3"/>
    </row>
    <row r="900" spans="1:12" x14ac:dyDescent="0.3">
      <c r="A900">
        <v>898</v>
      </c>
      <c r="B900" s="2">
        <f t="shared" si="112"/>
        <v>71840</v>
      </c>
      <c r="C900" s="2">
        <f t="shared" si="113"/>
        <v>3.5708180356069223E-3</v>
      </c>
      <c r="D900" s="2">
        <f t="shared" si="114"/>
        <v>6.8978741925119493</v>
      </c>
      <c r="E900" s="3">
        <f t="shared" ref="E900:E963" si="119">D900*9/5 + 32</f>
        <v>44.416173546521506</v>
      </c>
      <c r="F900" cm="1">
        <f t="array" aca="1" ref="F900" ca="1">INDEX($O$2:$O$34,INT(A900/$Z$1)+1)</f>
        <v>44.697309950495971</v>
      </c>
      <c r="G900" cm="1">
        <f t="array" aca="1" ref="G900" ca="1">INDEX($O$2:$O$34,INT(A900/$Z$1)+2)</f>
        <v>39.691249961273414</v>
      </c>
      <c r="H900">
        <f t="shared" ca="1" si="115"/>
        <v>-0.1564393746632049</v>
      </c>
      <c r="I900">
        <f t="shared" ca="1" si="116"/>
        <v>-0.3128787493264098</v>
      </c>
      <c r="J900" s="3">
        <f t="shared" ca="1" si="117"/>
        <v>44.384431201169562</v>
      </c>
      <c r="K900" s="3">
        <f t="shared" ca="1" si="118"/>
        <v>3.1742345351943868E-2</v>
      </c>
      <c r="L900" s="3"/>
    </row>
    <row r="901" spans="1:12" x14ac:dyDescent="0.3">
      <c r="A901">
        <v>899</v>
      </c>
      <c r="B901" s="2">
        <f t="shared" si="112"/>
        <v>72500</v>
      </c>
      <c r="C901" s="2">
        <f t="shared" si="113"/>
        <v>3.5718235249516681E-3</v>
      </c>
      <c r="D901" s="2">
        <f t="shared" si="114"/>
        <v>6.8190390676654715</v>
      </c>
      <c r="E901" s="3">
        <f t="shared" si="119"/>
        <v>44.27427032179785</v>
      </c>
      <c r="F901" cm="1">
        <f t="array" aca="1" ref="F901" ca="1">INDEX($O$2:$O$34,INT(A901/$Z$1)+1)</f>
        <v>44.697309950495971</v>
      </c>
      <c r="G901" cm="1">
        <f t="array" aca="1" ref="G901" ca="1">INDEX($O$2:$O$34,INT(A901/$Z$1)+2)</f>
        <v>39.691249961273414</v>
      </c>
      <c r="H901">
        <f t="shared" ca="1" si="115"/>
        <v>-0.1564393746632049</v>
      </c>
      <c r="I901">
        <f t="shared" ca="1" si="116"/>
        <v>-0.4693181239896147</v>
      </c>
      <c r="J901" s="3">
        <f t="shared" ca="1" si="117"/>
        <v>44.227991826506354</v>
      </c>
      <c r="K901" s="3">
        <f t="shared" ca="1" si="118"/>
        <v>4.6278495291495858E-2</v>
      </c>
      <c r="L901" s="3"/>
    </row>
    <row r="902" spans="1:12" x14ac:dyDescent="0.3">
      <c r="A902">
        <v>900</v>
      </c>
      <c r="B902" s="2">
        <f t="shared" si="112"/>
        <v>73170.731707317071</v>
      </c>
      <c r="C902" s="2">
        <f t="shared" si="113"/>
        <v>3.5728360291108915E-3</v>
      </c>
      <c r="D902" s="2">
        <f t="shared" si="114"/>
        <v>6.7396987861075672</v>
      </c>
      <c r="E902" s="3">
        <f t="shared" si="119"/>
        <v>44.131457814993624</v>
      </c>
      <c r="F902" cm="1">
        <f t="array" aca="1" ref="F902" ca="1">INDEX($O$2:$O$34,INT(A902/$Z$1)+1)</f>
        <v>44.697309950495971</v>
      </c>
      <c r="G902" cm="1">
        <f t="array" aca="1" ref="G902" ca="1">INDEX($O$2:$O$34,INT(A902/$Z$1)+2)</f>
        <v>39.691249961273414</v>
      </c>
      <c r="H902">
        <f t="shared" ca="1" si="115"/>
        <v>-0.1564393746632049</v>
      </c>
      <c r="I902">
        <f t="shared" ca="1" si="116"/>
        <v>-0.6257574986528196</v>
      </c>
      <c r="J902" s="3">
        <f t="shared" ca="1" si="117"/>
        <v>44.071552451843154</v>
      </c>
      <c r="K902" s="3">
        <f t="shared" ca="1" si="118"/>
        <v>5.9905363150470237E-2</v>
      </c>
      <c r="L902" s="3"/>
    </row>
    <row r="903" spans="1:12" x14ac:dyDescent="0.3">
      <c r="A903">
        <v>901</v>
      </c>
      <c r="B903" s="2">
        <f t="shared" si="112"/>
        <v>73852.459016393448</v>
      </c>
      <c r="C903" s="2">
        <f t="shared" si="113"/>
        <v>3.5738556651373188E-3</v>
      </c>
      <c r="D903" s="2">
        <f t="shared" si="114"/>
        <v>6.6598450799011175</v>
      </c>
      <c r="E903" s="3">
        <f t="shared" si="119"/>
        <v>43.987721143822014</v>
      </c>
      <c r="F903" cm="1">
        <f t="array" aca="1" ref="F903" ca="1">INDEX($O$2:$O$34,INT(A903/$Z$1)+1)</f>
        <v>44.697309950495971</v>
      </c>
      <c r="G903" cm="1">
        <f t="array" aca="1" ref="G903" ca="1">INDEX($O$2:$O$34,INT(A903/$Z$1)+2)</f>
        <v>39.691249961273414</v>
      </c>
      <c r="H903">
        <f t="shared" ca="1" si="115"/>
        <v>-0.1564393746632049</v>
      </c>
      <c r="I903">
        <f t="shared" ca="1" si="116"/>
        <v>-0.7821968733160245</v>
      </c>
      <c r="J903" s="3">
        <f t="shared" ca="1" si="117"/>
        <v>43.915113077179946</v>
      </c>
      <c r="K903" s="3">
        <f t="shared" ca="1" si="118"/>
        <v>7.2608066642068536E-2</v>
      </c>
      <c r="L903" s="3"/>
    </row>
    <row r="904" spans="1:12" x14ac:dyDescent="0.3">
      <c r="A904">
        <v>902</v>
      </c>
      <c r="B904" s="2">
        <f t="shared" si="112"/>
        <v>74545.454545454544</v>
      </c>
      <c r="C904" s="2">
        <f t="shared" si="113"/>
        <v>3.5748825529654648E-3</v>
      </c>
      <c r="D904" s="2">
        <f t="shared" si="114"/>
        <v>6.5794694815839989</v>
      </c>
      <c r="E904" s="3">
        <f t="shared" si="119"/>
        <v>43.843045066851197</v>
      </c>
      <c r="F904" cm="1">
        <f t="array" aca="1" ref="F904" ca="1">INDEX($O$2:$O$34,INT(A904/$Z$1)+1)</f>
        <v>44.697309950495971</v>
      </c>
      <c r="G904" cm="1">
        <f t="array" aca="1" ref="G904" ca="1">INDEX($O$2:$O$34,INT(A904/$Z$1)+2)</f>
        <v>39.691249961273414</v>
      </c>
      <c r="H904">
        <f t="shared" ca="1" si="115"/>
        <v>-0.1564393746632049</v>
      </c>
      <c r="I904">
        <f t="shared" ca="1" si="116"/>
        <v>-0.9386362479792294</v>
      </c>
      <c r="J904" s="3">
        <f t="shared" ca="1" si="117"/>
        <v>43.758673702516738</v>
      </c>
      <c r="K904" s="3">
        <f t="shared" ca="1" si="118"/>
        <v>8.4371364334458576E-2</v>
      </c>
      <c r="L904" s="3"/>
    </row>
    <row r="905" spans="1:12" x14ac:dyDescent="0.3">
      <c r="A905">
        <v>903</v>
      </c>
      <c r="B905" s="2">
        <f t="shared" si="112"/>
        <v>75250</v>
      </c>
      <c r="C905" s="2">
        <f t="shared" si="113"/>
        <v>3.5759168155073354E-3</v>
      </c>
      <c r="D905" s="2">
        <f t="shared" si="114"/>
        <v>6.4985633176353303</v>
      </c>
      <c r="E905" s="3">
        <f t="shared" si="119"/>
        <v>43.697413971743593</v>
      </c>
      <c r="F905" cm="1">
        <f t="array" aca="1" ref="F905" ca="1">INDEX($O$2:$O$34,INT(A905/$Z$1)+1)</f>
        <v>44.697309950495971</v>
      </c>
      <c r="G905" cm="1">
        <f t="array" aca="1" ref="G905" ca="1">INDEX($O$2:$O$34,INT(A905/$Z$1)+2)</f>
        <v>39.691249961273414</v>
      </c>
      <c r="H905">
        <f t="shared" ca="1" si="115"/>
        <v>-0.1564393746632049</v>
      </c>
      <c r="I905">
        <f t="shared" ca="1" si="116"/>
        <v>-1.0950756226424343</v>
      </c>
      <c r="J905" s="3">
        <f t="shared" ca="1" si="117"/>
        <v>43.602234327853537</v>
      </c>
      <c r="K905" s="3">
        <f t="shared" ca="1" si="118"/>
        <v>9.5179643890055843E-2</v>
      </c>
      <c r="L905" s="3"/>
    </row>
    <row r="906" spans="1:12" x14ac:dyDescent="0.3">
      <c r="A906">
        <v>904</v>
      </c>
      <c r="B906" s="2">
        <f t="shared" si="112"/>
        <v>75966.386554621844</v>
      </c>
      <c r="C906" s="2">
        <f t="shared" si="113"/>
        <v>3.5769585787521333E-3</v>
      </c>
      <c r="D906" s="2">
        <f t="shared" si="114"/>
        <v>6.4171177016711454</v>
      </c>
      <c r="E906" s="3">
        <f t="shared" si="119"/>
        <v>43.550811863008065</v>
      </c>
      <c r="F906" cm="1">
        <f t="array" aca="1" ref="F906" ca="1">INDEX($O$2:$O$34,INT(A906/$Z$1)+1)</f>
        <v>44.697309950495971</v>
      </c>
      <c r="G906" cm="1">
        <f t="array" aca="1" ref="G906" ca="1">INDEX($O$2:$O$34,INT(A906/$Z$1)+2)</f>
        <v>39.691249961273414</v>
      </c>
      <c r="H906">
        <f t="shared" ca="1" si="115"/>
        <v>-0.1564393746632049</v>
      </c>
      <c r="I906">
        <f t="shared" ca="1" si="116"/>
        <v>-1.2515149973056392</v>
      </c>
      <c r="J906" s="3">
        <f t="shared" ca="1" si="117"/>
        <v>43.44579495319033</v>
      </c>
      <c r="K906" s="3">
        <f t="shared" ca="1" si="118"/>
        <v>0.10501690981773493</v>
      </c>
      <c r="L906" s="3"/>
    </row>
    <row r="907" spans="1:12" x14ac:dyDescent="0.3">
      <c r="A907">
        <v>905</v>
      </c>
      <c r="B907" s="2">
        <f t="shared" si="112"/>
        <v>76694.91525423729</v>
      </c>
      <c r="C907" s="2">
        <f t="shared" si="113"/>
        <v>3.5780079718701705E-3</v>
      </c>
      <c r="D907" s="2">
        <f t="shared" si="114"/>
        <v>6.3351235273562452</v>
      </c>
      <c r="E907" s="3">
        <f t="shared" si="119"/>
        <v>43.40322234924124</v>
      </c>
      <c r="F907" cm="1">
        <f t="array" aca="1" ref="F907" ca="1">INDEX($O$2:$O$34,INT(A907/$Z$1)+1)</f>
        <v>44.697309950495971</v>
      </c>
      <c r="G907" cm="1">
        <f t="array" aca="1" ref="G907" ca="1">INDEX($O$2:$O$34,INT(A907/$Z$1)+2)</f>
        <v>39.691249961273414</v>
      </c>
      <c r="H907">
        <f t="shared" ca="1" si="115"/>
        <v>-0.1564393746632049</v>
      </c>
      <c r="I907">
        <f t="shared" ca="1" si="116"/>
        <v>-1.4079543719688441</v>
      </c>
      <c r="J907" s="3">
        <f t="shared" ca="1" si="117"/>
        <v>43.289355578527129</v>
      </c>
      <c r="K907" s="3">
        <f t="shared" ca="1" si="118"/>
        <v>0.113866770714111</v>
      </c>
      <c r="L907" s="3"/>
    </row>
    <row r="908" spans="1:12" x14ac:dyDescent="0.3">
      <c r="A908">
        <v>906</v>
      </c>
      <c r="B908" s="2">
        <f t="shared" si="112"/>
        <v>77435.897435897437</v>
      </c>
      <c r="C908" s="2">
        <f t="shared" si="113"/>
        <v>3.5790651273212015E-3</v>
      </c>
      <c r="D908" s="2">
        <f t="shared" si="114"/>
        <v>6.2525714610181922</v>
      </c>
      <c r="E908" s="3">
        <f t="shared" si="119"/>
        <v>43.254628629832744</v>
      </c>
      <c r="F908" cm="1">
        <f t="array" aca="1" ref="F908" ca="1">INDEX($O$2:$O$34,INT(A908/$Z$1)+1)</f>
        <v>44.697309950495971</v>
      </c>
      <c r="G908" cm="1">
        <f t="array" aca="1" ref="G908" ca="1">INDEX($O$2:$O$34,INT(A908/$Z$1)+2)</f>
        <v>39.691249961273414</v>
      </c>
      <c r="H908">
        <f t="shared" ca="1" si="115"/>
        <v>-0.1564393746632049</v>
      </c>
      <c r="I908">
        <f t="shared" ca="1" si="116"/>
        <v>-1.564393746632049</v>
      </c>
      <c r="J908" s="3">
        <f t="shared" ca="1" si="117"/>
        <v>43.132916203863921</v>
      </c>
      <c r="K908" s="3">
        <f t="shared" ca="1" si="118"/>
        <v>0.12171242596882337</v>
      </c>
      <c r="L908" s="3"/>
    </row>
    <row r="909" spans="1:12" x14ac:dyDescent="0.3">
      <c r="A909">
        <v>907</v>
      </c>
      <c r="B909" s="2">
        <f t="shared" si="112"/>
        <v>78189.655172413797</v>
      </c>
      <c r="C909" s="2">
        <f t="shared" si="113"/>
        <v>3.5801301809674107E-3</v>
      </c>
      <c r="D909" s="2">
        <f t="shared" si="114"/>
        <v>6.1694519339471299</v>
      </c>
      <c r="E909" s="3">
        <f t="shared" si="119"/>
        <v>43.105013481104834</v>
      </c>
      <c r="F909" cm="1">
        <f t="array" aca="1" ref="F909" ca="1">INDEX($O$2:$O$34,INT(A909/$Z$1)+1)</f>
        <v>44.697309950495971</v>
      </c>
      <c r="G909" cm="1">
        <f t="array" aca="1" ref="G909" ca="1">INDEX($O$2:$O$34,INT(A909/$Z$1)+2)</f>
        <v>39.691249961273414</v>
      </c>
      <c r="H909">
        <f t="shared" ca="1" si="115"/>
        <v>-0.1564393746632049</v>
      </c>
      <c r="I909">
        <f t="shared" ca="1" si="116"/>
        <v>-1.7208331212952539</v>
      </c>
      <c r="J909" s="3">
        <f t="shared" ca="1" si="117"/>
        <v>42.976476829200713</v>
      </c>
      <c r="K909" s="3">
        <f t="shared" ca="1" si="118"/>
        <v>0.12853665190412045</v>
      </c>
      <c r="L909" s="3"/>
    </row>
    <row r="910" spans="1:12" x14ac:dyDescent="0.3">
      <c r="A910">
        <v>908</v>
      </c>
      <c r="B910" s="2">
        <f t="shared" si="112"/>
        <v>78956.521739130432</v>
      </c>
      <c r="C910" s="2">
        <f t="shared" si="113"/>
        <v>3.5812032721912832E-3</v>
      </c>
      <c r="D910" s="2">
        <f t="shared" si="114"/>
        <v>6.0857551343672753</v>
      </c>
      <c r="E910" s="3">
        <f t="shared" si="119"/>
        <v>42.954359241861098</v>
      </c>
      <c r="F910" cm="1">
        <f t="array" aca="1" ref="F910" ca="1">INDEX($O$2:$O$34,INT(A910/$Z$1)+1)</f>
        <v>44.697309950495971</v>
      </c>
      <c r="G910" cm="1">
        <f t="array" aca="1" ref="G910" ca="1">INDEX($O$2:$O$34,INT(A910/$Z$1)+2)</f>
        <v>39.691249961273414</v>
      </c>
      <c r="H910">
        <f t="shared" ca="1" si="115"/>
        <v>-0.1564393746632049</v>
      </c>
      <c r="I910">
        <f t="shared" ca="1" si="116"/>
        <v>-1.8772724959584588</v>
      </c>
      <c r="J910" s="3">
        <f t="shared" ca="1" si="117"/>
        <v>42.820037454537513</v>
      </c>
      <c r="K910" s="3">
        <f t="shared" ca="1" si="118"/>
        <v>0.1343217873235858</v>
      </c>
      <c r="L910" s="3"/>
    </row>
    <row r="911" spans="1:12" x14ac:dyDescent="0.3">
      <c r="A911">
        <v>909</v>
      </c>
      <c r="B911" s="2">
        <f t="shared" si="112"/>
        <v>79736.84210526316</v>
      </c>
      <c r="C911" s="2">
        <f t="shared" si="113"/>
        <v>3.5822845440186303E-3</v>
      </c>
      <c r="D911" s="2">
        <f t="shared" si="114"/>
        <v>6.0014709990607003</v>
      </c>
      <c r="E911" s="3">
        <f t="shared" si="119"/>
        <v>42.802647798309259</v>
      </c>
      <c r="F911" cm="1">
        <f t="array" aca="1" ref="F911" ca="1">INDEX($O$2:$O$34,INT(A911/$Z$1)+1)</f>
        <v>44.697309950495971</v>
      </c>
      <c r="G911" cm="1">
        <f t="array" aca="1" ref="G911" ca="1">INDEX($O$2:$O$34,INT(A911/$Z$1)+2)</f>
        <v>39.691249961273414</v>
      </c>
      <c r="H911">
        <f t="shared" ca="1" si="115"/>
        <v>-0.1564393746632049</v>
      </c>
      <c r="I911">
        <f t="shared" ca="1" si="116"/>
        <v>-2.0337118706216639</v>
      </c>
      <c r="J911" s="3">
        <f t="shared" ca="1" si="117"/>
        <v>42.663598079874305</v>
      </c>
      <c r="K911" s="3">
        <f t="shared" ca="1" si="118"/>
        <v>0.13904971843495417</v>
      </c>
      <c r="L911" s="3"/>
    </row>
    <row r="912" spans="1:12" x14ac:dyDescent="0.3">
      <c r="A912">
        <v>910</v>
      </c>
      <c r="B912" s="2">
        <f t="shared" si="112"/>
        <v>80530.973451327431</v>
      </c>
      <c r="C912" s="2">
        <f t="shared" si="113"/>
        <v>3.58337414324703E-3</v>
      </c>
      <c r="D912" s="2">
        <f t="shared" si="114"/>
        <v>5.916589204626689</v>
      </c>
      <c r="E912" s="3">
        <f t="shared" si="119"/>
        <v>42.649860568328037</v>
      </c>
      <c r="F912" cm="1">
        <f t="array" aca="1" ref="F912" ca="1">INDEX($O$2:$O$34,INT(A912/$Z$1)+1)</f>
        <v>44.697309950495971</v>
      </c>
      <c r="G912" cm="1">
        <f t="array" aca="1" ref="G912" ca="1">INDEX($O$2:$O$34,INT(A912/$Z$1)+2)</f>
        <v>39.691249961273414</v>
      </c>
      <c r="H912">
        <f t="shared" ca="1" si="115"/>
        <v>-0.1564393746632049</v>
      </c>
      <c r="I912">
        <f t="shared" ca="1" si="116"/>
        <v>-2.1901512452848686</v>
      </c>
      <c r="J912" s="3">
        <f t="shared" ca="1" si="117"/>
        <v>42.507158705211104</v>
      </c>
      <c r="K912" s="3">
        <f t="shared" ca="1" si="118"/>
        <v>0.14270186311693323</v>
      </c>
      <c r="L912" s="3"/>
    </row>
    <row r="913" spans="1:12" x14ac:dyDescent="0.3">
      <c r="A913">
        <v>911</v>
      </c>
      <c r="B913" s="2">
        <f t="shared" si="112"/>
        <v>81339.28571428571</v>
      </c>
      <c r="C913" s="2">
        <f t="shared" si="113"/>
        <v>3.5844722205799775E-3</v>
      </c>
      <c r="D913" s="2">
        <f t="shared" si="114"/>
        <v>5.8310991583573468</v>
      </c>
      <c r="E913" s="3">
        <f t="shared" si="119"/>
        <v>42.495978485043224</v>
      </c>
      <c r="F913" cm="1">
        <f t="array" aca="1" ref="F913" ca="1">INDEX($O$2:$O$34,INT(A913/$Z$1)+1)</f>
        <v>44.697309950495971</v>
      </c>
      <c r="G913" cm="1">
        <f t="array" aca="1" ref="G913" ca="1">INDEX($O$2:$O$34,INT(A913/$Z$1)+2)</f>
        <v>39.691249961273414</v>
      </c>
      <c r="H913">
        <f t="shared" ca="1" si="115"/>
        <v>-0.1564393746632049</v>
      </c>
      <c r="I913">
        <f t="shared" ca="1" si="116"/>
        <v>-2.3465906199480733</v>
      </c>
      <c r="J913" s="3">
        <f t="shared" ca="1" si="117"/>
        <v>42.350719330547896</v>
      </c>
      <c r="K913" s="3">
        <f t="shared" ca="1" si="118"/>
        <v>0.14525915449532789</v>
      </c>
      <c r="L913" s="3"/>
    </row>
    <row r="914" spans="1:12" x14ac:dyDescent="0.3">
      <c r="A914">
        <v>912</v>
      </c>
      <c r="B914" s="2">
        <f t="shared" si="112"/>
        <v>82162.16216216216</v>
      </c>
      <c r="C914" s="2">
        <f t="shared" si="113"/>
        <v>3.5855789307670514E-3</v>
      </c>
      <c r="D914" s="2">
        <f t="shared" si="114"/>
        <v>5.7449899887082552</v>
      </c>
      <c r="E914" s="3">
        <f t="shared" si="119"/>
        <v>42.340981979674858</v>
      </c>
      <c r="F914" cm="1">
        <f t="array" aca="1" ref="F914" ca="1">INDEX($O$2:$O$34,INT(A914/$Z$1)+1)</f>
        <v>44.697309950495971</v>
      </c>
      <c r="G914" cm="1">
        <f t="array" aca="1" ref="G914" ca="1">INDEX($O$2:$O$34,INT(A914/$Z$1)+2)</f>
        <v>39.691249961273414</v>
      </c>
      <c r="H914">
        <f t="shared" ca="1" si="115"/>
        <v>-0.1564393746632049</v>
      </c>
      <c r="I914">
        <f t="shared" ca="1" si="116"/>
        <v>-2.5030299946112784</v>
      </c>
      <c r="J914" s="3">
        <f t="shared" ca="1" si="117"/>
        <v>42.194279955884696</v>
      </c>
      <c r="K914" s="3">
        <f t="shared" ca="1" si="118"/>
        <v>0.14670202379016217</v>
      </c>
      <c r="L914" s="3"/>
    </row>
    <row r="915" spans="1:12" x14ac:dyDescent="0.3">
      <c r="A915">
        <v>913</v>
      </c>
      <c r="B915" s="2">
        <f t="shared" si="112"/>
        <v>83000</v>
      </c>
      <c r="C915" s="2">
        <f t="shared" si="113"/>
        <v>3.5866944327504224E-3</v>
      </c>
      <c r="D915" s="2">
        <f t="shared" si="114"/>
        <v>5.6582505353430861</v>
      </c>
      <c r="E915" s="3">
        <f t="shared" si="119"/>
        <v>42.184850963617556</v>
      </c>
      <c r="F915" cm="1">
        <f t="array" aca="1" ref="F915" ca="1">INDEX($O$2:$O$34,INT(A915/$Z$1)+1)</f>
        <v>44.697309950495971</v>
      </c>
      <c r="G915" cm="1">
        <f t="array" aca="1" ref="G915" ca="1">INDEX($O$2:$O$34,INT(A915/$Z$1)+2)</f>
        <v>39.691249961273414</v>
      </c>
      <c r="H915">
        <f t="shared" ca="1" si="115"/>
        <v>-0.1564393746632049</v>
      </c>
      <c r="I915">
        <f t="shared" ca="1" si="116"/>
        <v>-2.6594693692744835</v>
      </c>
      <c r="J915" s="3">
        <f t="shared" ca="1" si="117"/>
        <v>42.037840581221488</v>
      </c>
      <c r="K915" s="3">
        <f t="shared" ca="1" si="118"/>
        <v>0.14701038239606845</v>
      </c>
      <c r="L915" s="3"/>
    </row>
    <row r="916" spans="1:12" x14ac:dyDescent="0.3">
      <c r="A916">
        <v>914</v>
      </c>
      <c r="B916" s="2">
        <f t="shared" si="112"/>
        <v>83853.211009174309</v>
      </c>
      <c r="C916" s="2">
        <f t="shared" si="113"/>
        <v>3.5878188898180513E-3</v>
      </c>
      <c r="D916" s="2">
        <f t="shared" si="114"/>
        <v>5.5708693387288122</v>
      </c>
      <c r="E916" s="3">
        <f t="shared" si="119"/>
        <v>42.027564809711862</v>
      </c>
      <c r="F916" cm="1">
        <f t="array" aca="1" ref="F916" ca="1">INDEX($O$2:$O$34,INT(A916/$Z$1)+1)</f>
        <v>44.697309950495971</v>
      </c>
      <c r="G916" cm="1">
        <f t="array" aca="1" ref="G916" ca="1">INDEX($O$2:$O$34,INT(A916/$Z$1)+2)</f>
        <v>39.691249961273414</v>
      </c>
      <c r="H916">
        <f t="shared" ca="1" si="115"/>
        <v>-0.1564393746632049</v>
      </c>
      <c r="I916">
        <f t="shared" ca="1" si="116"/>
        <v>-2.8159087439376882</v>
      </c>
      <c r="J916" s="3">
        <f t="shared" ca="1" si="117"/>
        <v>41.88140120655828</v>
      </c>
      <c r="K916" s="3">
        <f t="shared" ca="1" si="118"/>
        <v>0.14616360315358179</v>
      </c>
      <c r="L916" s="3"/>
    </row>
    <row r="917" spans="1:12" x14ac:dyDescent="0.3">
      <c r="A917">
        <v>915</v>
      </c>
      <c r="B917" s="2">
        <f t="shared" si="112"/>
        <v>84722.222222222219</v>
      </c>
      <c r="C917" s="2">
        <f t="shared" si="113"/>
        <v>3.5889524697639476E-3</v>
      </c>
      <c r="D917" s="2">
        <f t="shared" si="114"/>
        <v>5.4828346292566152</v>
      </c>
      <c r="E917" s="3">
        <f t="shared" si="119"/>
        <v>41.86910233266191</v>
      </c>
      <c r="F917" cm="1">
        <f t="array" aca="1" ref="F917" ca="1">INDEX($O$2:$O$34,INT(A917/$Z$1)+1)</f>
        <v>44.697309950495971</v>
      </c>
      <c r="G917" cm="1">
        <f t="array" aca="1" ref="G917" ca="1">INDEX($O$2:$O$34,INT(A917/$Z$1)+2)</f>
        <v>39.691249961273414</v>
      </c>
      <c r="H917">
        <f t="shared" ca="1" si="115"/>
        <v>-0.1564393746632049</v>
      </c>
      <c r="I917">
        <f t="shared" ca="1" si="116"/>
        <v>-2.9723481186008929</v>
      </c>
      <c r="J917" s="3">
        <f t="shared" ca="1" si="117"/>
        <v>41.724961831895079</v>
      </c>
      <c r="K917" s="3">
        <f t="shared" ca="1" si="118"/>
        <v>0.14414050076683083</v>
      </c>
      <c r="L917" s="3"/>
    </row>
    <row r="918" spans="1:12" x14ac:dyDescent="0.3">
      <c r="A918">
        <v>916</v>
      </c>
      <c r="B918" s="2">
        <f t="shared" si="112"/>
        <v>85607.476635514016</v>
      </c>
      <c r="C918" s="2">
        <f t="shared" si="113"/>
        <v>3.5900953450558825E-3</v>
      </c>
      <c r="D918" s="2">
        <f t="shared" si="114"/>
        <v>5.3941343158629707</v>
      </c>
      <c r="E918" s="3">
        <f t="shared" si="119"/>
        <v>41.709441768553347</v>
      </c>
      <c r="F918" cm="1">
        <f t="array" aca="1" ref="F918" ca="1">INDEX($O$2:$O$34,INT(A918/$Z$1)+1)</f>
        <v>44.697309950495971</v>
      </c>
      <c r="G918" cm="1">
        <f t="array" aca="1" ref="G918" ca="1">INDEX($O$2:$O$34,INT(A918/$Z$1)+2)</f>
        <v>39.691249961273414</v>
      </c>
      <c r="H918">
        <f t="shared" ca="1" si="115"/>
        <v>-0.1564393746632049</v>
      </c>
      <c r="I918">
        <f t="shared" ca="1" si="116"/>
        <v>-3.128787493264098</v>
      </c>
      <c r="J918" s="3">
        <f t="shared" ca="1" si="117"/>
        <v>41.568522457231872</v>
      </c>
      <c r="K918" s="3">
        <f t="shared" ca="1" si="118"/>
        <v>0.1409193113214755</v>
      </c>
      <c r="L918" s="3"/>
    </row>
    <row r="919" spans="1:12" x14ac:dyDescent="0.3">
      <c r="A919">
        <v>917</v>
      </c>
      <c r="B919" s="2">
        <f t="shared" si="112"/>
        <v>86509.433962264156</v>
      </c>
      <c r="C919" s="2">
        <f t="shared" si="113"/>
        <v>3.5912476930109734E-3</v>
      </c>
      <c r="D919" s="2">
        <f t="shared" si="114"/>
        <v>5.3047559741222585</v>
      </c>
      <c r="E919" s="3">
        <f t="shared" si="119"/>
        <v>41.548560753420062</v>
      </c>
      <c r="F919" cm="1">
        <f t="array" aca="1" ref="F919" ca="1">INDEX($O$2:$O$34,INT(A919/$Z$1)+1)</f>
        <v>44.697309950495971</v>
      </c>
      <c r="G919" cm="1">
        <f t="array" aca="1" ref="G919" ca="1">INDEX($O$2:$O$34,INT(A919/$Z$1)+2)</f>
        <v>39.691249961273414</v>
      </c>
      <c r="H919">
        <f t="shared" ca="1" si="115"/>
        <v>-0.1564393746632049</v>
      </c>
      <c r="I919">
        <f t="shared" ca="1" si="116"/>
        <v>-3.2852268679273031</v>
      </c>
      <c r="J919" s="3">
        <f t="shared" ca="1" si="117"/>
        <v>41.412083082568671</v>
      </c>
      <c r="K919" s="3">
        <f t="shared" ca="1" si="118"/>
        <v>0.13647767085139151</v>
      </c>
      <c r="L919" s="3"/>
    </row>
    <row r="920" spans="1:12" x14ac:dyDescent="0.3">
      <c r="A920">
        <v>918</v>
      </c>
      <c r="B920" s="2">
        <f t="shared" si="112"/>
        <v>87428.571428571435</v>
      </c>
      <c r="C920" s="2">
        <f t="shared" si="113"/>
        <v>3.5924096959795947E-3</v>
      </c>
      <c r="D920" s="2">
        <f t="shared" si="114"/>
        <v>5.2146868337815135</v>
      </c>
      <c r="E920" s="3">
        <f t="shared" si="119"/>
        <v>41.386436300806722</v>
      </c>
      <c r="F920" cm="1">
        <f t="array" aca="1" ref="F920" ca="1">INDEX($O$2:$O$34,INT(A920/$Z$1)+1)</f>
        <v>44.697309950495971</v>
      </c>
      <c r="G920" cm="1">
        <f t="array" aca="1" ref="G920" ca="1">INDEX($O$2:$O$34,INT(A920/$Z$1)+2)</f>
        <v>39.691249961273414</v>
      </c>
      <c r="H920">
        <f t="shared" ca="1" si="115"/>
        <v>-0.1564393746632049</v>
      </c>
      <c r="I920">
        <f t="shared" ca="1" si="116"/>
        <v>-3.4416662425905078</v>
      </c>
      <c r="J920" s="3">
        <f t="shared" ca="1" si="117"/>
        <v>41.255643707905463</v>
      </c>
      <c r="K920" s="3">
        <f t="shared" ca="1" si="118"/>
        <v>0.13079259290125833</v>
      </c>
      <c r="L920" s="3"/>
    </row>
    <row r="921" spans="1:12" x14ac:dyDescent="0.3">
      <c r="A921">
        <v>919</v>
      </c>
      <c r="B921" s="2">
        <f t="shared" si="112"/>
        <v>88365.38461538461</v>
      </c>
      <c r="C921" s="2">
        <f t="shared" si="113"/>
        <v>3.5935815415380824E-3</v>
      </c>
      <c r="D921" s="2">
        <f t="shared" si="114"/>
        <v>5.1239137657057086</v>
      </c>
      <c r="E921" s="3">
        <f t="shared" si="119"/>
        <v>41.223044778270278</v>
      </c>
      <c r="F921" cm="1">
        <f t="array" aca="1" ref="F921" ca="1">INDEX($O$2:$O$34,INT(A921/$Z$1)+1)</f>
        <v>44.697309950495971</v>
      </c>
      <c r="G921" cm="1">
        <f t="array" aca="1" ref="G921" ca="1">INDEX($O$2:$O$34,INT(A921/$Z$1)+2)</f>
        <v>39.691249961273414</v>
      </c>
      <c r="H921">
        <f t="shared" ca="1" si="115"/>
        <v>-0.1564393746632049</v>
      </c>
      <c r="I921">
        <f t="shared" ca="1" si="116"/>
        <v>-3.5981056172537125</v>
      </c>
      <c r="J921" s="3">
        <f t="shared" ca="1" si="117"/>
        <v>41.099204333242255</v>
      </c>
      <c r="K921" s="3">
        <f t="shared" ca="1" si="118"/>
        <v>0.12384044502802283</v>
      </c>
      <c r="L921" s="3"/>
    </row>
    <row r="922" spans="1:12" x14ac:dyDescent="0.3">
      <c r="A922">
        <v>920</v>
      </c>
      <c r="B922" s="2">
        <f t="shared" si="112"/>
        <v>89320.388349514556</v>
      </c>
      <c r="C922" s="2">
        <f t="shared" si="113"/>
        <v>3.5947634226907539E-3</v>
      </c>
      <c r="D922" s="2">
        <f t="shared" si="114"/>
        <v>5.0324232681992953</v>
      </c>
      <c r="E922" s="3">
        <f t="shared" si="119"/>
        <v>41.058361882758732</v>
      </c>
      <c r="F922" cm="1">
        <f t="array" aca="1" ref="F922" ca="1">INDEX($O$2:$O$34,INT(A922/$Z$1)+1)</f>
        <v>44.697309950495971</v>
      </c>
      <c r="G922" cm="1">
        <f t="array" aca="1" ref="G922" ca="1">INDEX($O$2:$O$34,INT(A922/$Z$1)+2)</f>
        <v>39.691249961273414</v>
      </c>
      <c r="H922">
        <f t="shared" ca="1" si="115"/>
        <v>-0.1564393746632049</v>
      </c>
      <c r="I922">
        <f t="shared" ca="1" si="116"/>
        <v>-3.7545449919169176</v>
      </c>
      <c r="J922" s="3">
        <f t="shared" ca="1" si="117"/>
        <v>40.942764958579055</v>
      </c>
      <c r="K922" s="3">
        <f t="shared" ca="1" si="118"/>
        <v>0.11559692417967682</v>
      </c>
      <c r="L922" s="3"/>
    </row>
    <row r="923" spans="1:12" x14ac:dyDescent="0.3">
      <c r="A923">
        <v>921</v>
      </c>
      <c r="B923" s="2">
        <f t="shared" si="112"/>
        <v>90294.117647058825</v>
      </c>
      <c r="C923" s="2">
        <f t="shared" si="113"/>
        <v>3.5959555380817789E-3</v>
      </c>
      <c r="D923" s="2">
        <f t="shared" si="114"/>
        <v>4.9402014526683047</v>
      </c>
      <c r="E923" s="3">
        <f t="shared" si="119"/>
        <v>40.892362614802948</v>
      </c>
      <c r="F923" cm="1">
        <f t="array" aca="1" ref="F923" ca="1">INDEX($O$2:$O$34,INT(A923/$Z$1)+1)</f>
        <v>44.697309950495971</v>
      </c>
      <c r="G923" cm="1">
        <f t="array" aca="1" ref="G923" ca="1">INDEX($O$2:$O$34,INT(A923/$Z$1)+2)</f>
        <v>39.691249961273414</v>
      </c>
      <c r="H923">
        <f t="shared" ca="1" si="115"/>
        <v>-0.1564393746632049</v>
      </c>
      <c r="I923">
        <f t="shared" ca="1" si="116"/>
        <v>-3.9109843665801227</v>
      </c>
      <c r="J923" s="3">
        <f t="shared" ca="1" si="117"/>
        <v>40.786325583915847</v>
      </c>
      <c r="K923" s="3">
        <f t="shared" ca="1" si="118"/>
        <v>0.10603703088710148</v>
      </c>
      <c r="L923" s="3"/>
    </row>
    <row r="924" spans="1:12" x14ac:dyDescent="0.3">
      <c r="A924">
        <v>922</v>
      </c>
      <c r="B924" s="2">
        <f t="shared" si="112"/>
        <v>91287.128712871287</v>
      </c>
      <c r="C924" s="2">
        <f t="shared" si="113"/>
        <v>3.5971580922174889E-3</v>
      </c>
      <c r="D924" s="2">
        <f t="shared" si="114"/>
        <v>4.8472340285840119</v>
      </c>
      <c r="E924" s="3">
        <f t="shared" si="119"/>
        <v>40.725021251451224</v>
      </c>
      <c r="F924" cm="1">
        <f t="array" aca="1" ref="F924" ca="1">INDEX($O$2:$O$34,INT(A924/$Z$1)+1)</f>
        <v>44.697309950495971</v>
      </c>
      <c r="G924" cm="1">
        <f t="array" aca="1" ref="G924" ca="1">INDEX($O$2:$O$34,INT(A924/$Z$1)+2)</f>
        <v>39.691249961273414</v>
      </c>
      <c r="H924">
        <f t="shared" ca="1" si="115"/>
        <v>-0.1564393746632049</v>
      </c>
      <c r="I924">
        <f t="shared" ca="1" si="116"/>
        <v>-4.0674237412433278</v>
      </c>
      <c r="J924" s="3">
        <f t="shared" ca="1" si="117"/>
        <v>40.629886209252646</v>
      </c>
      <c r="K924" s="3">
        <f t="shared" ca="1" si="118"/>
        <v>9.5135042198577935E-2</v>
      </c>
      <c r="L924" s="3"/>
    </row>
    <row r="925" spans="1:12" x14ac:dyDescent="0.3">
      <c r="A925">
        <v>923</v>
      </c>
      <c r="B925" s="2">
        <f t="shared" si="112"/>
        <v>92300</v>
      </c>
      <c r="C925" s="2">
        <f t="shared" si="113"/>
        <v>3.5983712956997485E-3</v>
      </c>
      <c r="D925" s="2">
        <f t="shared" si="114"/>
        <v>4.7535062877071823</v>
      </c>
      <c r="E925" s="3">
        <f t="shared" si="119"/>
        <v>40.556311317872925</v>
      </c>
      <c r="F925" cm="1">
        <f t="array" aca="1" ref="F925" ca="1">INDEX($O$2:$O$34,INT(A925/$Z$1)+1)</f>
        <v>44.697309950495971</v>
      </c>
      <c r="G925" cm="1">
        <f t="array" aca="1" ref="G925" ca="1">INDEX($O$2:$O$34,INT(A925/$Z$1)+2)</f>
        <v>39.691249961273414</v>
      </c>
      <c r="H925">
        <f t="shared" ca="1" si="115"/>
        <v>-0.1564393746632049</v>
      </c>
      <c r="I925">
        <f t="shared" ca="1" si="116"/>
        <v>-4.2238631159065321</v>
      </c>
      <c r="J925" s="3">
        <f t="shared" ca="1" si="117"/>
        <v>40.473446834589438</v>
      </c>
      <c r="K925" s="3">
        <f t="shared" ca="1" si="118"/>
        <v>8.2864483283486834E-2</v>
      </c>
      <c r="L925" s="3"/>
    </row>
    <row r="926" spans="1:12" x14ac:dyDescent="0.3">
      <c r="A926">
        <v>924</v>
      </c>
      <c r="B926" s="2">
        <f t="shared" si="112"/>
        <v>93333.333333333328</v>
      </c>
      <c r="C926" s="2">
        <f t="shared" si="113"/>
        <v>3.5995953654710511E-3</v>
      </c>
      <c r="D926" s="2">
        <f t="shared" si="114"/>
        <v>4.6590030875283901</v>
      </c>
      <c r="E926" s="3">
        <f t="shared" si="119"/>
        <v>40.386205557551101</v>
      </c>
      <c r="F926" cm="1">
        <f t="array" aca="1" ref="F926" ca="1">INDEX($O$2:$O$34,INT(A926/$Z$1)+1)</f>
        <v>44.697309950495971</v>
      </c>
      <c r="G926" cm="1">
        <f t="array" aca="1" ref="G926" ca="1">INDEX($O$2:$O$34,INT(A926/$Z$1)+2)</f>
        <v>39.691249961273414</v>
      </c>
      <c r="H926">
        <f t="shared" ca="1" si="115"/>
        <v>-0.1564393746632049</v>
      </c>
      <c r="I926">
        <f t="shared" ca="1" si="116"/>
        <v>-4.3803024905697372</v>
      </c>
      <c r="J926" s="3">
        <f t="shared" ca="1" si="117"/>
        <v>40.317007459926231</v>
      </c>
      <c r="K926" s="3">
        <f t="shared" ca="1" si="118"/>
        <v>6.9198097624870059E-2</v>
      </c>
      <c r="L926" s="3"/>
    </row>
    <row r="927" spans="1:12" x14ac:dyDescent="0.3">
      <c r="A927">
        <v>925</v>
      </c>
      <c r="B927" s="2">
        <f t="shared" si="112"/>
        <v>94387.755102040814</v>
      </c>
      <c r="C927" s="2">
        <f t="shared" si="113"/>
        <v>3.6008305250720589E-3</v>
      </c>
      <c r="D927" s="2">
        <f t="shared" si="114"/>
        <v>4.5637088338775129</v>
      </c>
      <c r="E927" s="3">
        <f t="shared" si="119"/>
        <v>40.214675900979522</v>
      </c>
      <c r="F927" cm="1">
        <f t="array" aca="1" ref="F927" ca="1">INDEX($O$2:$O$34,INT(A927/$Z$1)+1)</f>
        <v>44.697309950495971</v>
      </c>
      <c r="G927" cm="1">
        <f t="array" aca="1" ref="G927" ca="1">INDEX($O$2:$O$34,INT(A927/$Z$1)+2)</f>
        <v>39.691249961273414</v>
      </c>
      <c r="H927">
        <f t="shared" ca="1" si="115"/>
        <v>-0.1564393746632049</v>
      </c>
      <c r="I927">
        <f t="shared" ca="1" si="116"/>
        <v>-4.5367418652329423</v>
      </c>
      <c r="J927" s="3">
        <f t="shared" ca="1" si="117"/>
        <v>40.16056808526303</v>
      </c>
      <c r="K927" s="3">
        <f t="shared" ca="1" si="118"/>
        <v>5.4107815716491814E-2</v>
      </c>
      <c r="L927" s="3"/>
    </row>
    <row r="928" spans="1:12" x14ac:dyDescent="0.3">
      <c r="A928">
        <v>926</v>
      </c>
      <c r="B928" s="2">
        <f t="shared" si="112"/>
        <v>95463.917525773199</v>
      </c>
      <c r="C928" s="2">
        <f t="shared" si="113"/>
        <v>3.6020770049123504E-3</v>
      </c>
      <c r="D928" s="2">
        <f t="shared" si="114"/>
        <v>4.4676074626514151</v>
      </c>
      <c r="E928" s="3">
        <f t="shared" si="119"/>
        <v>40.041693432772547</v>
      </c>
      <c r="F928" cm="1">
        <f t="array" aca="1" ref="F928" ca="1">INDEX($O$2:$O$34,INT(A928/$Z$1)+1)</f>
        <v>44.697309950495971</v>
      </c>
      <c r="G928" cm="1">
        <f t="array" aca="1" ref="G928" ca="1">INDEX($O$2:$O$34,INT(A928/$Z$1)+2)</f>
        <v>39.691249961273414</v>
      </c>
      <c r="H928">
        <f t="shared" ca="1" si="115"/>
        <v>-0.1564393746632049</v>
      </c>
      <c r="I928">
        <f t="shared" ca="1" si="116"/>
        <v>-4.6931812398961466</v>
      </c>
      <c r="J928" s="3">
        <f t="shared" ca="1" si="117"/>
        <v>40.004128710599822</v>
      </c>
      <c r="K928" s="3">
        <f t="shared" ca="1" si="118"/>
        <v>3.7564722172724885E-2</v>
      </c>
      <c r="L928" s="3"/>
    </row>
    <row r="929" spans="1:12" x14ac:dyDescent="0.3">
      <c r="A929">
        <v>927</v>
      </c>
      <c r="B929" s="2">
        <f t="shared" si="112"/>
        <v>96562.5</v>
      </c>
      <c r="C929" s="2">
        <f t="shared" si="113"/>
        <v>3.603335042555196E-3</v>
      </c>
      <c r="D929" s="2">
        <f t="shared" si="114"/>
        <v>4.3706824206056467</v>
      </c>
      <c r="E929" s="3">
        <f t="shared" si="119"/>
        <v>39.867228357090163</v>
      </c>
      <c r="F929" cm="1">
        <f t="array" aca="1" ref="F929" ca="1">INDEX($O$2:$O$34,INT(A929/$Z$1)+1)</f>
        <v>44.697309950495971</v>
      </c>
      <c r="G929" cm="1">
        <f t="array" aca="1" ref="G929" ca="1">INDEX($O$2:$O$34,INT(A929/$Z$1)+2)</f>
        <v>39.691249961273414</v>
      </c>
      <c r="H929">
        <f t="shared" ca="1" si="115"/>
        <v>-0.1564393746632049</v>
      </c>
      <c r="I929">
        <f t="shared" ca="1" si="116"/>
        <v>-4.8496206145593517</v>
      </c>
      <c r="J929" s="3">
        <f t="shared" ca="1" si="117"/>
        <v>39.847689335936622</v>
      </c>
      <c r="K929" s="3">
        <f t="shared" ca="1" si="118"/>
        <v>1.9539021153541114E-2</v>
      </c>
      <c r="L929" s="3"/>
    </row>
    <row r="930" spans="1:12" x14ac:dyDescent="0.3">
      <c r="A930">
        <v>928</v>
      </c>
      <c r="B930" s="2">
        <f t="shared" si="112"/>
        <v>97684.210526315786</v>
      </c>
      <c r="C930" s="2">
        <f t="shared" si="113"/>
        <v>3.6046048830172426E-3</v>
      </c>
      <c r="D930" s="2">
        <f t="shared" si="114"/>
        <v>4.272916645151895</v>
      </c>
      <c r="E930" s="3">
        <f t="shared" si="119"/>
        <v>39.691249961273414</v>
      </c>
      <c r="F930" cm="1">
        <f t="array" aca="1" ref="F930" ca="1">INDEX($O$2:$O$34,INT(A930/$Z$1)+1)</f>
        <v>39.691249961273414</v>
      </c>
      <c r="G930" cm="1">
        <f t="array" aca="1" ref="G930" ca="1">INDEX($O$2:$O$34,INT(A930/$Z$1)+2)</f>
        <v>33.009257413115584</v>
      </c>
      <c r="H930">
        <f t="shared" ca="1" si="115"/>
        <v>-0.20881226712993217</v>
      </c>
      <c r="I930">
        <f t="shared" ca="1" si="116"/>
        <v>0</v>
      </c>
      <c r="J930" s="3">
        <f t="shared" ca="1" si="117"/>
        <v>39.691249961273414</v>
      </c>
      <c r="K930" s="3">
        <f t="shared" ca="1" si="118"/>
        <v>0</v>
      </c>
      <c r="L930" s="3"/>
    </row>
    <row r="931" spans="1:12" x14ac:dyDescent="0.3">
      <c r="A931">
        <v>929</v>
      </c>
      <c r="B931" s="2">
        <f t="shared" si="112"/>
        <v>98829.787234042553</v>
      </c>
      <c r="C931" s="2">
        <f t="shared" si="113"/>
        <v>3.6058867790840603E-3</v>
      </c>
      <c r="D931" s="2">
        <f t="shared" si="114"/>
        <v>4.1742925430987725</v>
      </c>
      <c r="E931" s="3">
        <f t="shared" si="119"/>
        <v>39.513726577577792</v>
      </c>
      <c r="F931" cm="1">
        <f t="array" aca="1" ref="F931" ca="1">INDEX($O$2:$O$34,INT(A931/$Z$1)+1)</f>
        <v>39.691249961273414</v>
      </c>
      <c r="G931" cm="1">
        <f t="array" aca="1" ref="G931" ca="1">INDEX($O$2:$O$34,INT(A931/$Z$1)+2)</f>
        <v>33.009257413115584</v>
      </c>
      <c r="H931">
        <f t="shared" ca="1" si="115"/>
        <v>-0.20881226712993217</v>
      </c>
      <c r="I931">
        <f t="shared" ca="1" si="116"/>
        <v>-0.20881226712993217</v>
      </c>
      <c r="J931" s="3">
        <f t="shared" ca="1" si="117"/>
        <v>39.482437694143485</v>
      </c>
      <c r="K931" s="3">
        <f t="shared" ca="1" si="118"/>
        <v>3.1288883434307024E-2</v>
      </c>
      <c r="L931" s="3"/>
    </row>
    <row r="932" spans="1:12" x14ac:dyDescent="0.3">
      <c r="A932">
        <v>930</v>
      </c>
      <c r="B932" s="2">
        <f t="shared" si="112"/>
        <v>100000</v>
      </c>
      <c r="C932" s="2">
        <f t="shared" si="113"/>
        <v>3.6071809916425556E-3</v>
      </c>
      <c r="D932" s="2">
        <f t="shared" si="114"/>
        <v>4.0747919682685279</v>
      </c>
      <c r="E932" s="3">
        <f t="shared" si="119"/>
        <v>39.334625542883352</v>
      </c>
      <c r="F932" cm="1">
        <f t="array" aca="1" ref="F932" ca="1">INDEX($O$2:$O$34,INT(A932/$Z$1)+1)</f>
        <v>39.691249961273414</v>
      </c>
      <c r="G932" cm="1">
        <f t="array" aca="1" ref="G932" ca="1">INDEX($O$2:$O$34,INT(A932/$Z$1)+2)</f>
        <v>33.009257413115584</v>
      </c>
      <c r="H932">
        <f t="shared" ca="1" si="115"/>
        <v>-0.20881226712993217</v>
      </c>
      <c r="I932">
        <f t="shared" ca="1" si="116"/>
        <v>-0.41762453425986434</v>
      </c>
      <c r="J932" s="3">
        <f t="shared" ca="1" si="117"/>
        <v>39.273625427013549</v>
      </c>
      <c r="K932" s="3">
        <f t="shared" ca="1" si="118"/>
        <v>6.1000115869802585E-2</v>
      </c>
      <c r="L932" s="3"/>
    </row>
    <row r="933" spans="1:12" x14ac:dyDescent="0.3">
      <c r="A933">
        <v>931</v>
      </c>
      <c r="B933" s="2">
        <f t="shared" si="112"/>
        <v>101195.65217391304</v>
      </c>
      <c r="C933" s="2">
        <f t="shared" si="113"/>
        <v>3.6084877900313624E-3</v>
      </c>
      <c r="D933" s="2">
        <f t="shared" si="114"/>
        <v>3.9743961979177698</v>
      </c>
      <c r="E933" s="3">
        <f t="shared" si="119"/>
        <v>39.153913156251988</v>
      </c>
      <c r="F933" cm="1">
        <f t="array" aca="1" ref="F933" ca="1">INDEX($O$2:$O$34,INT(A933/$Z$1)+1)</f>
        <v>39.691249961273414</v>
      </c>
      <c r="G933" cm="1">
        <f t="array" aca="1" ref="G933" ca="1">INDEX($O$2:$O$34,INT(A933/$Z$1)+2)</f>
        <v>33.009257413115584</v>
      </c>
      <c r="H933">
        <f t="shared" ca="1" si="115"/>
        <v>-0.20881226712993217</v>
      </c>
      <c r="I933">
        <f t="shared" ca="1" si="116"/>
        <v>-0.62643680138979652</v>
      </c>
      <c r="J933" s="3">
        <f t="shared" ca="1" si="117"/>
        <v>39.06481315988362</v>
      </c>
      <c r="K933" s="3">
        <f t="shared" ca="1" si="118"/>
        <v>8.9099996368368295E-2</v>
      </c>
      <c r="L933" s="3"/>
    </row>
    <row r="934" spans="1:12" x14ac:dyDescent="0.3">
      <c r="A934">
        <v>932</v>
      </c>
      <c r="B934" s="2">
        <f t="shared" si="112"/>
        <v>102417.58241758242</v>
      </c>
      <c r="C934" s="2">
        <f t="shared" si="113"/>
        <v>3.6098074524103753E-3</v>
      </c>
      <c r="D934" s="2">
        <f t="shared" si="114"/>
        <v>3.8730859078842172</v>
      </c>
      <c r="E934" s="3">
        <f t="shared" si="119"/>
        <v>38.971554634191591</v>
      </c>
      <c r="F934" cm="1">
        <f t="array" aca="1" ref="F934" ca="1">INDEX($O$2:$O$34,INT(A934/$Z$1)+1)</f>
        <v>39.691249961273414</v>
      </c>
      <c r="G934" cm="1">
        <f t="array" aca="1" ref="G934" ca="1">INDEX($O$2:$O$34,INT(A934/$Z$1)+2)</f>
        <v>33.009257413115584</v>
      </c>
      <c r="H934">
        <f t="shared" ca="1" si="115"/>
        <v>-0.20881226712993217</v>
      </c>
      <c r="I934">
        <f t="shared" ca="1" si="116"/>
        <v>-0.83524906851972869</v>
      </c>
      <c r="J934" s="3">
        <f t="shared" ca="1" si="117"/>
        <v>38.856000892753684</v>
      </c>
      <c r="K934" s="3">
        <f t="shared" ca="1" si="118"/>
        <v>0.11555374143790687</v>
      </c>
      <c r="L934" s="3"/>
    </row>
    <row r="935" spans="1:12" x14ac:dyDescent="0.3">
      <c r="A935">
        <v>933</v>
      </c>
      <c r="B935" s="2">
        <f t="shared" si="112"/>
        <v>103666.66666666667</v>
      </c>
      <c r="C935" s="2">
        <f t="shared" si="113"/>
        <v>3.6111402661507014E-3</v>
      </c>
      <c r="D935" s="2">
        <f t="shared" si="114"/>
        <v>3.7708411463759148</v>
      </c>
      <c r="E935" s="3">
        <f t="shared" si="119"/>
        <v>38.78751406347665</v>
      </c>
      <c r="F935" cm="1">
        <f t="array" aca="1" ref="F935" ca="1">INDEX($O$2:$O$34,INT(A935/$Z$1)+1)</f>
        <v>39.691249961273414</v>
      </c>
      <c r="G935" cm="1">
        <f t="array" aca="1" ref="G935" ca="1">INDEX($O$2:$O$34,INT(A935/$Z$1)+2)</f>
        <v>33.009257413115584</v>
      </c>
      <c r="H935">
        <f t="shared" ca="1" si="115"/>
        <v>-0.20881226712993217</v>
      </c>
      <c r="I935">
        <f t="shared" ca="1" si="116"/>
        <v>-1.0440613356496609</v>
      </c>
      <c r="J935" s="3">
        <f t="shared" ca="1" si="117"/>
        <v>38.647188625623755</v>
      </c>
      <c r="K935" s="3">
        <f t="shared" ca="1" si="118"/>
        <v>0.1403254378528942</v>
      </c>
      <c r="L935" s="3"/>
    </row>
    <row r="936" spans="1:12" x14ac:dyDescent="0.3">
      <c r="A936">
        <v>934</v>
      </c>
      <c r="B936" s="2">
        <f t="shared" si="112"/>
        <v>104943.82022471911</v>
      </c>
      <c r="C936" s="2">
        <f t="shared" si="113"/>
        <v>3.6124865282463987E-3</v>
      </c>
      <c r="D936" s="2">
        <f t="shared" si="114"/>
        <v>3.6676413063131577</v>
      </c>
      <c r="E936" s="3">
        <f t="shared" si="119"/>
        <v>38.601754351363681</v>
      </c>
      <c r="F936" cm="1">
        <f t="array" aca="1" ref="F936" ca="1">INDEX($O$2:$O$34,INT(A936/$Z$1)+1)</f>
        <v>39.691249961273414</v>
      </c>
      <c r="G936" cm="1">
        <f t="array" aca="1" ref="G936" ca="1">INDEX($O$2:$O$34,INT(A936/$Z$1)+2)</f>
        <v>33.009257413115584</v>
      </c>
      <c r="H936">
        <f t="shared" ca="1" si="115"/>
        <v>-0.20881226712993217</v>
      </c>
      <c r="I936">
        <f t="shared" ca="1" si="116"/>
        <v>-1.252873602779593</v>
      </c>
      <c r="J936" s="3">
        <f t="shared" ca="1" si="117"/>
        <v>38.438376358493819</v>
      </c>
      <c r="K936" s="3">
        <f t="shared" ca="1" si="118"/>
        <v>0.16337799286986154</v>
      </c>
      <c r="L936" s="3"/>
    </row>
    <row r="937" spans="1:12" x14ac:dyDescent="0.3">
      <c r="A937">
        <v>935</v>
      </c>
      <c r="B937" s="2">
        <f t="shared" si="112"/>
        <v>106250</v>
      </c>
      <c r="C937" s="2">
        <f t="shared" si="113"/>
        <v>3.6138465457494794E-3</v>
      </c>
      <c r="D937" s="2">
        <f t="shared" si="114"/>
        <v>3.5634650961249008</v>
      </c>
      <c r="E937" s="3">
        <f t="shared" si="119"/>
        <v>38.414237173024823</v>
      </c>
      <c r="F937" cm="1">
        <f t="array" aca="1" ref="F937" ca="1">INDEX($O$2:$O$34,INT(A937/$Z$1)+1)</f>
        <v>39.691249961273414</v>
      </c>
      <c r="G937" cm="1">
        <f t="array" aca="1" ref="G937" ca="1">INDEX($O$2:$O$34,INT(A937/$Z$1)+2)</f>
        <v>33.009257413115584</v>
      </c>
      <c r="H937">
        <f t="shared" ca="1" si="115"/>
        <v>-0.20881226712993217</v>
      </c>
      <c r="I937">
        <f t="shared" ca="1" si="116"/>
        <v>-1.4616858699095252</v>
      </c>
      <c r="J937" s="3">
        <f t="shared" ca="1" si="117"/>
        <v>38.229564091363891</v>
      </c>
      <c r="K937" s="3">
        <f t="shared" ca="1" si="118"/>
        <v>0.18467308166093233</v>
      </c>
      <c r="L937" s="3"/>
    </row>
    <row r="938" spans="1:12" x14ac:dyDescent="0.3">
      <c r="A938">
        <v>936</v>
      </c>
      <c r="B938" s="2">
        <f t="shared" si="112"/>
        <v>107586.20689655172</v>
      </c>
      <c r="C938" s="2">
        <f t="shared" si="113"/>
        <v>3.6152206362297674E-3</v>
      </c>
      <c r="D938" s="2">
        <f t="shared" si="114"/>
        <v>3.4582905088961979</v>
      </c>
      <c r="E938" s="3">
        <f t="shared" si="119"/>
        <v>38.224922916013156</v>
      </c>
      <c r="F938" cm="1">
        <f t="array" aca="1" ref="F938" ca="1">INDEX($O$2:$O$34,INT(A938/$Z$1)+1)</f>
        <v>39.691249961273414</v>
      </c>
      <c r="G938" cm="1">
        <f t="array" aca="1" ref="G938" ca="1">INDEX($O$2:$O$34,INT(A938/$Z$1)+2)</f>
        <v>33.009257413115584</v>
      </c>
      <c r="H938">
        <f t="shared" ca="1" si="115"/>
        <v>-0.20881226712993217</v>
      </c>
      <c r="I938">
        <f t="shared" ca="1" si="116"/>
        <v>-1.6704981370394574</v>
      </c>
      <c r="J938" s="3">
        <f t="shared" ca="1" si="117"/>
        <v>38.020751824233955</v>
      </c>
      <c r="K938" s="3">
        <f t="shared" ca="1" si="118"/>
        <v>0.20417109177920167</v>
      </c>
      <c r="L938" s="3"/>
    </row>
    <row r="939" spans="1:12" x14ac:dyDescent="0.3">
      <c r="A939">
        <v>937</v>
      </c>
      <c r="B939" s="2">
        <f t="shared" si="112"/>
        <v>108953.48837209302</v>
      </c>
      <c r="C939" s="2">
        <f t="shared" si="113"/>
        <v>3.6166091282613432E-3</v>
      </c>
      <c r="D939" s="2">
        <f t="shared" si="114"/>
        <v>3.3520947897519591</v>
      </c>
      <c r="E939" s="3">
        <f t="shared" si="119"/>
        <v>38.033770621553529</v>
      </c>
      <c r="F939" cm="1">
        <f t="array" aca="1" ref="F939" ca="1">INDEX($O$2:$O$34,INT(A939/$Z$1)+1)</f>
        <v>39.691249961273414</v>
      </c>
      <c r="G939" cm="1">
        <f t="array" aca="1" ref="G939" ca="1">INDEX($O$2:$O$34,INT(A939/$Z$1)+2)</f>
        <v>33.009257413115584</v>
      </c>
      <c r="H939">
        <f t="shared" ca="1" si="115"/>
        <v>-0.20881226712993217</v>
      </c>
      <c r="I939">
        <f t="shared" ca="1" si="116"/>
        <v>-1.8793104041693895</v>
      </c>
      <c r="J939" s="3">
        <f t="shared" ca="1" si="117"/>
        <v>37.811939557104026</v>
      </c>
      <c r="K939" s="3">
        <f t="shared" ca="1" si="118"/>
        <v>0.2218310644495034</v>
      </c>
      <c r="L939" s="3"/>
    </row>
    <row r="940" spans="1:12" x14ac:dyDescent="0.3">
      <c r="A940">
        <v>938</v>
      </c>
      <c r="B940" s="2">
        <f t="shared" si="112"/>
        <v>110352.94117647059</v>
      </c>
      <c r="C940" s="2">
        <f t="shared" si="113"/>
        <v>3.6180123619374343E-3</v>
      </c>
      <c r="D940" s="2">
        <f t="shared" si="114"/>
        <v>3.2448544013550986</v>
      </c>
      <c r="E940" s="3">
        <f t="shared" si="119"/>
        <v>37.840737922439175</v>
      </c>
      <c r="F940" cm="1">
        <f t="array" aca="1" ref="F940" ca="1">INDEX($O$2:$O$34,INT(A940/$Z$1)+1)</f>
        <v>39.691249961273414</v>
      </c>
      <c r="G940" cm="1">
        <f t="array" aca="1" ref="G940" ca="1">INDEX($O$2:$O$34,INT(A940/$Z$1)+2)</f>
        <v>33.009257413115584</v>
      </c>
      <c r="H940">
        <f t="shared" ca="1" si="115"/>
        <v>-0.20881226712993217</v>
      </c>
      <c r="I940">
        <f t="shared" ca="1" si="116"/>
        <v>-2.0881226712993217</v>
      </c>
      <c r="J940" s="3">
        <f t="shared" ca="1" si="117"/>
        <v>37.60312728997409</v>
      </c>
      <c r="K940" s="3">
        <f t="shared" ca="1" si="118"/>
        <v>0.23761063246508485</v>
      </c>
      <c r="L940" s="3"/>
    </row>
    <row r="941" spans="1:12" x14ac:dyDescent="0.3">
      <c r="A941">
        <v>939</v>
      </c>
      <c r="B941" s="2">
        <f t="shared" si="112"/>
        <v>111785.71428571429</v>
      </c>
      <c r="C941" s="2">
        <f t="shared" si="113"/>
        <v>3.6194306894157782E-3</v>
      </c>
      <c r="D941" s="2">
        <f t="shared" si="114"/>
        <v>3.1365449873865714</v>
      </c>
      <c r="E941" s="3">
        <f t="shared" si="119"/>
        <v>37.645780977295829</v>
      </c>
      <c r="F941" cm="1">
        <f t="array" aca="1" ref="F941" ca="1">INDEX($O$2:$O$34,INT(A941/$Z$1)+1)</f>
        <v>39.691249961273414</v>
      </c>
      <c r="G941" cm="1">
        <f t="array" aca="1" ref="G941" ca="1">INDEX($O$2:$O$34,INT(A941/$Z$1)+2)</f>
        <v>33.009257413115584</v>
      </c>
      <c r="H941">
        <f t="shared" ca="1" si="115"/>
        <v>-0.20881226712993217</v>
      </c>
      <c r="I941">
        <f t="shared" ca="1" si="116"/>
        <v>-2.2969349384292537</v>
      </c>
      <c r="J941" s="3">
        <f t="shared" ca="1" si="117"/>
        <v>37.394315022844161</v>
      </c>
      <c r="K941" s="3">
        <f t="shared" ca="1" si="118"/>
        <v>0.25146595445166753</v>
      </c>
      <c r="L941" s="3"/>
    </row>
    <row r="942" spans="1:12" x14ac:dyDescent="0.3">
      <c r="A942">
        <v>940</v>
      </c>
      <c r="B942" s="2">
        <f t="shared" si="112"/>
        <v>113253.01204819277</v>
      </c>
      <c r="C942" s="2">
        <f t="shared" si="113"/>
        <v>3.6208644754966378E-3</v>
      </c>
      <c r="D942" s="2">
        <f t="shared" si="114"/>
        <v>3.0271413338633693</v>
      </c>
      <c r="E942" s="3">
        <f t="shared" si="119"/>
        <v>37.448854400954062</v>
      </c>
      <c r="F942" cm="1">
        <f t="array" aca="1" ref="F942" ca="1">INDEX($O$2:$O$34,INT(A942/$Z$1)+1)</f>
        <v>39.691249961273414</v>
      </c>
      <c r="G942" cm="1">
        <f t="array" aca="1" ref="G942" ca="1">INDEX($O$2:$O$34,INT(A942/$Z$1)+2)</f>
        <v>33.009257413115584</v>
      </c>
      <c r="H942">
        <f t="shared" ca="1" si="115"/>
        <v>-0.20881226712993217</v>
      </c>
      <c r="I942">
        <f t="shared" ca="1" si="116"/>
        <v>-2.5057472055591861</v>
      </c>
      <c r="J942" s="3">
        <f t="shared" ca="1" si="117"/>
        <v>37.185502755714225</v>
      </c>
      <c r="K942" s="3">
        <f t="shared" ca="1" si="118"/>
        <v>0.26335164523983678</v>
      </c>
      <c r="L942" s="3"/>
    </row>
    <row r="943" spans="1:12" x14ac:dyDescent="0.3">
      <c r="A943">
        <v>941</v>
      </c>
      <c r="B943" s="2">
        <f t="shared" si="112"/>
        <v>114756.09756097561</v>
      </c>
      <c r="C943" s="2">
        <f t="shared" si="113"/>
        <v>3.6223140982358571E-3</v>
      </c>
      <c r="D943" s="2">
        <f t="shared" si="114"/>
        <v>2.9166173281386705</v>
      </c>
      <c r="E943" s="3">
        <f t="shared" si="119"/>
        <v>37.249911190649605</v>
      </c>
      <c r="F943" cm="1">
        <f t="array" aca="1" ref="F943" ca="1">INDEX($O$2:$O$34,INT(A943/$Z$1)+1)</f>
        <v>39.691249961273414</v>
      </c>
      <c r="G943" cm="1">
        <f t="array" aca="1" ref="G943" ca="1">INDEX($O$2:$O$34,INT(A943/$Z$1)+2)</f>
        <v>33.009257413115584</v>
      </c>
      <c r="H943">
        <f t="shared" ca="1" si="115"/>
        <v>-0.20881226712993217</v>
      </c>
      <c r="I943">
        <f t="shared" ca="1" si="116"/>
        <v>-2.7145594726891185</v>
      </c>
      <c r="J943" s="3">
        <f t="shared" ca="1" si="117"/>
        <v>36.976690488584296</v>
      </c>
      <c r="K943" s="3">
        <f t="shared" ca="1" si="118"/>
        <v>0.27322070206530924</v>
      </c>
      <c r="L943" s="3"/>
    </row>
    <row r="944" spans="1:12" x14ac:dyDescent="0.3">
      <c r="A944">
        <v>942</v>
      </c>
      <c r="B944" s="2">
        <f t="shared" si="112"/>
        <v>116296.29629629629</v>
      </c>
      <c r="C944" s="2">
        <f t="shared" si="113"/>
        <v>3.6237799495955248E-3</v>
      </c>
      <c r="D944" s="2">
        <f t="shared" si="114"/>
        <v>2.8049459154154874</v>
      </c>
      <c r="E944" s="3">
        <f t="shared" si="119"/>
        <v>37.04890264774788</v>
      </c>
      <c r="F944" cm="1">
        <f t="array" aca="1" ref="F944" ca="1">INDEX($O$2:$O$34,INT(A944/$Z$1)+1)</f>
        <v>39.691249961273414</v>
      </c>
      <c r="G944" cm="1">
        <f t="array" aca="1" ref="G944" ca="1">INDEX($O$2:$O$34,INT(A944/$Z$1)+2)</f>
        <v>33.009257413115584</v>
      </c>
      <c r="H944">
        <f t="shared" ca="1" si="115"/>
        <v>-0.20881226712993217</v>
      </c>
      <c r="I944">
        <f t="shared" ca="1" si="116"/>
        <v>-2.9233717398190504</v>
      </c>
      <c r="J944" s="3">
        <f t="shared" ca="1" si="117"/>
        <v>36.76787822145436</v>
      </c>
      <c r="K944" s="3">
        <f t="shared" ca="1" si="118"/>
        <v>0.28102442629351998</v>
      </c>
      <c r="L944" s="3"/>
    </row>
    <row r="945" spans="1:12" x14ac:dyDescent="0.3">
      <c r="A945">
        <v>943</v>
      </c>
      <c r="B945" s="2">
        <f t="shared" si="112"/>
        <v>117875</v>
      </c>
      <c r="C945" s="2">
        <f t="shared" si="113"/>
        <v>3.6252624361350579E-3</v>
      </c>
      <c r="D945" s="2">
        <f t="shared" si="114"/>
        <v>2.6920990525899242</v>
      </c>
      <c r="E945" s="3">
        <f t="shared" si="119"/>
        <v>36.845778294661862</v>
      </c>
      <c r="F945" cm="1">
        <f t="array" aca="1" ref="F945" ca="1">INDEX($O$2:$O$34,INT(A945/$Z$1)+1)</f>
        <v>39.691249961273414</v>
      </c>
      <c r="G945" cm="1">
        <f t="array" aca="1" ref="G945" ca="1">INDEX($O$2:$O$34,INT(A945/$Z$1)+2)</f>
        <v>33.009257413115584</v>
      </c>
      <c r="H945">
        <f t="shared" ca="1" si="115"/>
        <v>-0.20881226712993217</v>
      </c>
      <c r="I945">
        <f t="shared" ca="1" si="116"/>
        <v>-3.1321840069489824</v>
      </c>
      <c r="J945" s="3">
        <f t="shared" ca="1" si="117"/>
        <v>36.559065954324431</v>
      </c>
      <c r="K945" s="3">
        <f t="shared" ca="1" si="118"/>
        <v>0.28671234033743076</v>
      </c>
      <c r="L945" s="3"/>
    </row>
    <row r="946" spans="1:12" x14ac:dyDescent="0.3">
      <c r="A946">
        <v>944</v>
      </c>
      <c r="B946" s="2">
        <f t="shared" si="112"/>
        <v>119493.67088607595</v>
      </c>
      <c r="C946" s="2">
        <f t="shared" si="113"/>
        <v>3.6267619797457525E-3</v>
      </c>
      <c r="D946" s="2">
        <f t="shared" si="114"/>
        <v>2.5780476592244668</v>
      </c>
      <c r="E946" s="3">
        <f t="shared" si="119"/>
        <v>36.640485786604039</v>
      </c>
      <c r="F946" cm="1">
        <f t="array" aca="1" ref="F946" ca="1">INDEX($O$2:$O$34,INT(A946/$Z$1)+1)</f>
        <v>39.691249961273414</v>
      </c>
      <c r="G946" cm="1">
        <f t="array" aca="1" ref="G946" ca="1">INDEX($O$2:$O$34,INT(A946/$Z$1)+2)</f>
        <v>33.009257413115584</v>
      </c>
      <c r="H946">
        <f t="shared" ca="1" si="115"/>
        <v>-0.20881226712993217</v>
      </c>
      <c r="I946">
        <f t="shared" ca="1" si="116"/>
        <v>-3.3409962740789148</v>
      </c>
      <c r="J946" s="3">
        <f t="shared" ca="1" si="117"/>
        <v>36.350253687194495</v>
      </c>
      <c r="K946" s="3">
        <f t="shared" ca="1" si="118"/>
        <v>0.29023209940954331</v>
      </c>
      <c r="L946" s="3"/>
    </row>
    <row r="947" spans="1:12" x14ac:dyDescent="0.3">
      <c r="A947">
        <v>945</v>
      </c>
      <c r="B947" s="2">
        <f t="shared" si="112"/>
        <v>121153.84615384616</v>
      </c>
      <c r="C947" s="2">
        <f t="shared" si="113"/>
        <v>3.6282790184321207E-3</v>
      </c>
      <c r="D947" s="2">
        <f t="shared" si="114"/>
        <v>2.4627615654342776</v>
      </c>
      <c r="E947" s="3">
        <f t="shared" si="119"/>
        <v>36.432970817781701</v>
      </c>
      <c r="F947" cm="1">
        <f t="array" aca="1" ref="F947" ca="1">INDEX($O$2:$O$34,INT(A947/$Z$1)+1)</f>
        <v>39.691249961273414</v>
      </c>
      <c r="G947" cm="1">
        <f t="array" aca="1" ref="G947" ca="1">INDEX($O$2:$O$34,INT(A947/$Z$1)+2)</f>
        <v>33.009257413115584</v>
      </c>
      <c r="H947">
        <f t="shared" ca="1" si="115"/>
        <v>-0.20881226712993217</v>
      </c>
      <c r="I947">
        <f t="shared" ca="1" si="116"/>
        <v>-3.5498085412088471</v>
      </c>
      <c r="J947" s="3">
        <f t="shared" ca="1" si="117"/>
        <v>36.141441420064567</v>
      </c>
      <c r="K947" s="3">
        <f t="shared" ca="1" si="118"/>
        <v>0.29152939771713449</v>
      </c>
      <c r="L947" s="3"/>
    </row>
    <row r="948" spans="1:12" x14ac:dyDescent="0.3">
      <c r="A948">
        <v>946</v>
      </c>
      <c r="B948" s="2">
        <f t="shared" si="112"/>
        <v>122857.14285714286</v>
      </c>
      <c r="C948" s="2">
        <f t="shared" si="113"/>
        <v>3.6298140071436471E-3</v>
      </c>
      <c r="D948" s="2">
        <f t="shared" si="114"/>
        <v>2.3462094564494009</v>
      </c>
      <c r="E948" s="3">
        <f t="shared" si="119"/>
        <v>36.223177021608919</v>
      </c>
      <c r="F948" cm="1">
        <f t="array" aca="1" ref="F948" ca="1">INDEX($O$2:$O$34,INT(A948/$Z$1)+1)</f>
        <v>39.691249961273414</v>
      </c>
      <c r="G948" cm="1">
        <f t="array" aca="1" ref="G948" ca="1">INDEX($O$2:$O$34,INT(A948/$Z$1)+2)</f>
        <v>33.009257413115584</v>
      </c>
      <c r="H948">
        <f t="shared" ca="1" si="115"/>
        <v>-0.20881226712993217</v>
      </c>
      <c r="I948">
        <f t="shared" ca="1" si="116"/>
        <v>-3.7586208083387791</v>
      </c>
      <c r="J948" s="3">
        <f t="shared" ca="1" si="117"/>
        <v>35.932629152934638</v>
      </c>
      <c r="K948" s="3">
        <f t="shared" ca="1" si="118"/>
        <v>0.29054786867428106</v>
      </c>
      <c r="L948" s="3"/>
    </row>
    <row r="949" spans="1:12" x14ac:dyDescent="0.3">
      <c r="A949">
        <v>947</v>
      </c>
      <c r="B949" s="2">
        <f t="shared" si="112"/>
        <v>124605.26315789473</v>
      </c>
      <c r="C949" s="2">
        <f t="shared" si="113"/>
        <v>3.6313674186609054E-3</v>
      </c>
      <c r="D949" s="2">
        <f t="shared" si="114"/>
        <v>2.2283588135947525</v>
      </c>
      <c r="E949" s="3">
        <f t="shared" si="119"/>
        <v>36.011045864470553</v>
      </c>
      <c r="F949" cm="1">
        <f t="array" aca="1" ref="F949" ca="1">INDEX($O$2:$O$34,INT(A949/$Z$1)+1)</f>
        <v>39.691249961273414</v>
      </c>
      <c r="G949" cm="1">
        <f t="array" aca="1" ref="G949" ca="1">INDEX($O$2:$O$34,INT(A949/$Z$1)+2)</f>
        <v>33.009257413115584</v>
      </c>
      <c r="H949">
        <f t="shared" ca="1" si="115"/>
        <v>-0.20881226712993217</v>
      </c>
      <c r="I949">
        <f t="shared" ca="1" si="116"/>
        <v>-3.967433075468711</v>
      </c>
      <c r="J949" s="3">
        <f t="shared" ca="1" si="117"/>
        <v>35.723816885804702</v>
      </c>
      <c r="K949" s="3">
        <f t="shared" ca="1" si="118"/>
        <v>0.28722897866585129</v>
      </c>
      <c r="L949" s="3"/>
    </row>
    <row r="950" spans="1:12" x14ac:dyDescent="0.3">
      <c r="A950">
        <v>948</v>
      </c>
      <c r="B950" s="2">
        <f t="shared" si="112"/>
        <v>126400</v>
      </c>
      <c r="C950" s="2">
        <f t="shared" si="113"/>
        <v>3.6329397445403699E-3</v>
      </c>
      <c r="D950" s="2">
        <f t="shared" si="114"/>
        <v>2.1091758514061212</v>
      </c>
      <c r="E950" s="3">
        <f t="shared" si="119"/>
        <v>35.796516532531015</v>
      </c>
      <c r="F950" cm="1">
        <f t="array" aca="1" ref="F950" ca="1">INDEX($O$2:$O$34,INT(A950/$Z$1)+1)</f>
        <v>39.691249961273414</v>
      </c>
      <c r="G950" cm="1">
        <f t="array" aca="1" ref="G950" ca="1">INDEX($O$2:$O$34,INT(A950/$Z$1)+2)</f>
        <v>33.009257413115584</v>
      </c>
      <c r="H950">
        <f t="shared" ca="1" si="115"/>
        <v>-0.20881226712993217</v>
      </c>
      <c r="I950">
        <f t="shared" ca="1" si="116"/>
        <v>-4.1762453425986434</v>
      </c>
      <c r="J950" s="3">
        <f t="shared" ca="1" si="117"/>
        <v>35.515004618674773</v>
      </c>
      <c r="K950" s="3">
        <f t="shared" ca="1" si="118"/>
        <v>0.2815119138562423</v>
      </c>
      <c r="L950" s="3"/>
    </row>
    <row r="951" spans="1:12" x14ac:dyDescent="0.3">
      <c r="A951">
        <v>949</v>
      </c>
      <c r="B951" s="2">
        <f t="shared" si="112"/>
        <v>128243.24324324324</v>
      </c>
      <c r="C951" s="2">
        <f t="shared" si="113"/>
        <v>3.6345314961226359E-3</v>
      </c>
      <c r="D951" s="2">
        <f t="shared" si="114"/>
        <v>1.9886254505739771</v>
      </c>
      <c r="E951" s="3">
        <f t="shared" si="119"/>
        <v>35.579525811033157</v>
      </c>
      <c r="F951" cm="1">
        <f t="array" aca="1" ref="F951" ca="1">INDEX($O$2:$O$34,INT(A951/$Z$1)+1)</f>
        <v>39.691249961273414</v>
      </c>
      <c r="G951" cm="1">
        <f t="array" aca="1" ref="G951" ca="1">INDEX($O$2:$O$34,INT(A951/$Z$1)+2)</f>
        <v>33.009257413115584</v>
      </c>
      <c r="H951">
        <f t="shared" ca="1" si="115"/>
        <v>-0.20881226712993217</v>
      </c>
      <c r="I951">
        <f t="shared" ca="1" si="116"/>
        <v>-4.3850576097285758</v>
      </c>
      <c r="J951" s="3">
        <f t="shared" ca="1" si="117"/>
        <v>35.306192351544837</v>
      </c>
      <c r="K951" s="3">
        <f t="shared" ca="1" si="118"/>
        <v>0.27333345948832033</v>
      </c>
      <c r="L951" s="3"/>
    </row>
    <row r="952" spans="1:12" x14ac:dyDescent="0.3">
      <c r="A952">
        <v>950</v>
      </c>
      <c r="B952" s="2">
        <f t="shared" si="112"/>
        <v>130136.98630136986</v>
      </c>
      <c r="C952" s="2">
        <f t="shared" si="113"/>
        <v>3.6361432056092372E-3</v>
      </c>
      <c r="D952" s="2">
        <f t="shared" si="114"/>
        <v>1.8666710863769822</v>
      </c>
      <c r="E952" s="3">
        <f t="shared" si="119"/>
        <v>35.360007955478565</v>
      </c>
      <c r="F952" cm="1">
        <f t="array" aca="1" ref="F952" ca="1">INDEX($O$2:$O$34,INT(A952/$Z$1)+1)</f>
        <v>39.691249961273414</v>
      </c>
      <c r="G952" cm="1">
        <f t="array" aca="1" ref="G952" ca="1">INDEX($O$2:$O$34,INT(A952/$Z$1)+2)</f>
        <v>33.009257413115584</v>
      </c>
      <c r="H952">
        <f t="shared" ca="1" si="115"/>
        <v>-0.20881226712993217</v>
      </c>
      <c r="I952">
        <f t="shared" ca="1" si="116"/>
        <v>-4.5938698768585073</v>
      </c>
      <c r="J952" s="3">
        <f t="shared" ca="1" si="117"/>
        <v>35.097380084414908</v>
      </c>
      <c r="K952" s="3">
        <f t="shared" ca="1" si="118"/>
        <v>0.26262787106365693</v>
      </c>
      <c r="L952" s="3"/>
    </row>
    <row r="953" spans="1:12" x14ac:dyDescent="0.3">
      <c r="A953">
        <v>951</v>
      </c>
      <c r="B953" s="2">
        <f t="shared" si="112"/>
        <v>132083.33333333334</v>
      </c>
      <c r="C953" s="2">
        <f t="shared" si="113"/>
        <v>3.6377754272137316E-3</v>
      </c>
      <c r="D953" s="2">
        <f t="shared" si="114"/>
        <v>1.7432747522368572</v>
      </c>
      <c r="E953" s="3">
        <f t="shared" si="119"/>
        <v>35.137894554026346</v>
      </c>
      <c r="F953" cm="1">
        <f t="array" aca="1" ref="F953" ca="1">INDEX($O$2:$O$34,INT(A953/$Z$1)+1)</f>
        <v>39.691249961273414</v>
      </c>
      <c r="G953" cm="1">
        <f t="array" aca="1" ref="G953" ca="1">INDEX($O$2:$O$34,INT(A953/$Z$1)+2)</f>
        <v>33.009257413115584</v>
      </c>
      <c r="H953">
        <f t="shared" ca="1" si="115"/>
        <v>-0.20881226712993217</v>
      </c>
      <c r="I953">
        <f t="shared" ca="1" si="116"/>
        <v>-4.8026821439884397</v>
      </c>
      <c r="J953" s="3">
        <f t="shared" ca="1" si="117"/>
        <v>34.888567817284972</v>
      </c>
      <c r="K953" s="3">
        <f t="shared" ca="1" si="118"/>
        <v>0.24932673674137362</v>
      </c>
      <c r="L953" s="3"/>
    </row>
    <row r="954" spans="1:12" x14ac:dyDescent="0.3">
      <c r="A954">
        <v>952</v>
      </c>
      <c r="B954" s="2">
        <f t="shared" si="112"/>
        <v>134084.50704225354</v>
      </c>
      <c r="C954" s="2">
        <f t="shared" si="113"/>
        <v>3.6394287383932898E-3</v>
      </c>
      <c r="D954" s="2">
        <f t="shared" si="114"/>
        <v>1.6183968779873226</v>
      </c>
      <c r="E954" s="3">
        <f t="shared" si="119"/>
        <v>34.913114380377181</v>
      </c>
      <c r="F954" cm="1">
        <f t="array" aca="1" ref="F954" ca="1">INDEX($O$2:$O$34,INT(A954/$Z$1)+1)</f>
        <v>39.691249961273414</v>
      </c>
      <c r="G954" cm="1">
        <f t="array" aca="1" ref="G954" ca="1">INDEX($O$2:$O$34,INT(A954/$Z$1)+2)</f>
        <v>33.009257413115584</v>
      </c>
      <c r="H954">
        <f t="shared" ca="1" si="115"/>
        <v>-0.20881226712993217</v>
      </c>
      <c r="I954">
        <f t="shared" ca="1" si="116"/>
        <v>-5.0114944111183721</v>
      </c>
      <c r="J954" s="3">
        <f t="shared" ca="1" si="117"/>
        <v>34.679755550155043</v>
      </c>
      <c r="K954" s="3">
        <f t="shared" ca="1" si="118"/>
        <v>0.23335883022213721</v>
      </c>
      <c r="L954" s="3"/>
    </row>
    <row r="955" spans="1:12" x14ac:dyDescent="0.3">
      <c r="A955">
        <v>953</v>
      </c>
      <c r="B955" s="2">
        <f t="shared" si="112"/>
        <v>136142.85714285713</v>
      </c>
      <c r="C955" s="2">
        <f t="shared" si="113"/>
        <v>3.6411037411676365E-3</v>
      </c>
      <c r="D955" s="2">
        <f t="shared" si="114"/>
        <v>1.4919962424135633</v>
      </c>
      <c r="E955" s="3">
        <f t="shared" si="119"/>
        <v>34.685593236344417</v>
      </c>
      <c r="F955" cm="1">
        <f t="array" aca="1" ref="F955" ca="1">INDEX($O$2:$O$34,INT(A955/$Z$1)+1)</f>
        <v>39.691249961273414</v>
      </c>
      <c r="G955" cm="1">
        <f t="array" aca="1" ref="G955" ca="1">INDEX($O$2:$O$34,INT(A955/$Z$1)+2)</f>
        <v>33.009257413115584</v>
      </c>
      <c r="H955">
        <f t="shared" ca="1" si="115"/>
        <v>-0.20881226712993217</v>
      </c>
      <c r="I955">
        <f t="shared" ca="1" si="116"/>
        <v>-5.2203066782483045</v>
      </c>
      <c r="J955" s="3">
        <f t="shared" ca="1" si="117"/>
        <v>34.470943283025107</v>
      </c>
      <c r="K955" s="3">
        <f t="shared" ca="1" si="118"/>
        <v>0.21464995331930936</v>
      </c>
      <c r="L955" s="3"/>
    </row>
    <row r="956" spans="1:12" x14ac:dyDescent="0.3">
      <c r="A956">
        <v>954</v>
      </c>
      <c r="B956" s="2">
        <f t="shared" si="112"/>
        <v>138260.86956521738</v>
      </c>
      <c r="C956" s="2">
        <f t="shared" si="113"/>
        <v>3.6428010635328949E-3</v>
      </c>
      <c r="D956" s="2">
        <f t="shared" si="114"/>
        <v>1.3640298795704666</v>
      </c>
      <c r="E956" s="3">
        <f t="shared" si="119"/>
        <v>34.455253783226837</v>
      </c>
      <c r="F956" cm="1">
        <f t="array" aca="1" ref="F956" ca="1">INDEX($O$2:$O$34,INT(A956/$Z$1)+1)</f>
        <v>39.691249961273414</v>
      </c>
      <c r="G956" cm="1">
        <f t="array" aca="1" ref="G956" ca="1">INDEX($O$2:$O$34,INT(A956/$Z$1)+2)</f>
        <v>33.009257413115584</v>
      </c>
      <c r="H956">
        <f t="shared" ca="1" si="115"/>
        <v>-0.20881226712993217</v>
      </c>
      <c r="I956">
        <f t="shared" ca="1" si="116"/>
        <v>-5.4291189453782369</v>
      </c>
      <c r="J956" s="3">
        <f t="shared" ca="1" si="117"/>
        <v>34.262131015895179</v>
      </c>
      <c r="K956" s="3">
        <f t="shared" ca="1" si="118"/>
        <v>0.19312276733165845</v>
      </c>
      <c r="L956" s="3"/>
    </row>
    <row r="957" spans="1:12" x14ac:dyDescent="0.3">
      <c r="A957">
        <v>955</v>
      </c>
      <c r="B957" s="2">
        <f t="shared" si="112"/>
        <v>140441.17647058822</v>
      </c>
      <c r="C957" s="2">
        <f t="shared" si="113"/>
        <v>3.6445213609786341E-3</v>
      </c>
      <c r="D957" s="2">
        <f t="shared" si="114"/>
        <v>1.2344529783406415</v>
      </c>
      <c r="E957" s="3">
        <f t="shared" si="119"/>
        <v>34.222015361013156</v>
      </c>
      <c r="F957" cm="1">
        <f t="array" aca="1" ref="F957" ca="1">INDEX($O$2:$O$34,INT(A957/$Z$1)+1)</f>
        <v>39.691249961273414</v>
      </c>
      <c r="G957" cm="1">
        <f t="array" aca="1" ref="G957" ca="1">INDEX($O$2:$O$34,INT(A957/$Z$1)+2)</f>
        <v>33.009257413115584</v>
      </c>
      <c r="H957">
        <f t="shared" ca="1" si="115"/>
        <v>-0.20881226712993217</v>
      </c>
      <c r="I957">
        <f t="shared" ca="1" si="116"/>
        <v>-5.6379312125081684</v>
      </c>
      <c r="J957" s="3">
        <f t="shared" ca="1" si="117"/>
        <v>34.053318748765243</v>
      </c>
      <c r="K957" s="3">
        <f t="shared" ca="1" si="118"/>
        <v>0.16869661224791344</v>
      </c>
      <c r="L957" s="3"/>
    </row>
    <row r="958" spans="1:12" x14ac:dyDescent="0.3">
      <c r="A958">
        <v>956</v>
      </c>
      <c r="B958" s="2">
        <f t="shared" si="112"/>
        <v>142686.56716417911</v>
      </c>
      <c r="C958" s="2">
        <f t="shared" si="113"/>
        <v>3.6462653181173086E-3</v>
      </c>
      <c r="D958" s="2">
        <f t="shared" si="114"/>
        <v>1.1032187746376962</v>
      </c>
      <c r="E958" s="3">
        <f t="shared" si="119"/>
        <v>33.985793794347856</v>
      </c>
      <c r="F958" cm="1">
        <f t="array" aca="1" ref="F958" ca="1">INDEX($O$2:$O$34,INT(A958/$Z$1)+1)</f>
        <v>39.691249961273414</v>
      </c>
      <c r="G958" cm="1">
        <f t="array" aca="1" ref="G958" ca="1">INDEX($O$2:$O$34,INT(A958/$Z$1)+2)</f>
        <v>33.009257413115584</v>
      </c>
      <c r="H958">
        <f t="shared" ca="1" si="115"/>
        <v>-0.20881226712993217</v>
      </c>
      <c r="I958">
        <f t="shared" ca="1" si="116"/>
        <v>-5.8467434796381008</v>
      </c>
      <c r="J958" s="3">
        <f t="shared" ca="1" si="117"/>
        <v>33.844506481635314</v>
      </c>
      <c r="K958" s="3">
        <f t="shared" ca="1" si="118"/>
        <v>0.14128731271254225</v>
      </c>
      <c r="L958" s="3"/>
    </row>
    <row r="959" spans="1:12" x14ac:dyDescent="0.3">
      <c r="A959">
        <v>957</v>
      </c>
      <c r="B959" s="2">
        <f t="shared" si="112"/>
        <v>145000</v>
      </c>
      <c r="C959" s="2">
        <f t="shared" si="113"/>
        <v>3.6480336504362203E-3</v>
      </c>
      <c r="D959" s="2">
        <f t="shared" si="114"/>
        <v>0.9702784355959011</v>
      </c>
      <c r="E959" s="3">
        <f t="shared" si="119"/>
        <v>33.746501184072621</v>
      </c>
      <c r="F959" cm="1">
        <f t="array" aca="1" ref="F959" ca="1">INDEX($O$2:$O$34,INT(A959/$Z$1)+1)</f>
        <v>39.691249961273414</v>
      </c>
      <c r="G959" cm="1">
        <f t="array" aca="1" ref="G959" ca="1">INDEX($O$2:$O$34,INT(A959/$Z$1)+2)</f>
        <v>33.009257413115584</v>
      </c>
      <c r="H959">
        <f t="shared" ca="1" si="115"/>
        <v>-0.20881226712993217</v>
      </c>
      <c r="I959">
        <f t="shared" ca="1" si="116"/>
        <v>-6.0555557467680332</v>
      </c>
      <c r="J959" s="3">
        <f t="shared" ca="1" si="117"/>
        <v>33.635694214505378</v>
      </c>
      <c r="K959" s="3">
        <f t="shared" ca="1" si="118"/>
        <v>0.11080696956724267</v>
      </c>
      <c r="L959" s="3"/>
    </row>
    <row r="960" spans="1:12" x14ac:dyDescent="0.3">
      <c r="A960">
        <v>958</v>
      </c>
      <c r="B960" s="2">
        <f t="shared" si="112"/>
        <v>147384.61538461538</v>
      </c>
      <c r="C960" s="2">
        <f t="shared" si="113"/>
        <v>3.6498271061832363E-3</v>
      </c>
      <c r="D960" s="2">
        <f t="shared" si="114"/>
        <v>0.8355809350208574</v>
      </c>
      <c r="E960" s="3">
        <f t="shared" si="119"/>
        <v>33.504045683037546</v>
      </c>
      <c r="F960" cm="1">
        <f t="array" aca="1" ref="F960" ca="1">INDEX($O$2:$O$34,INT(A960/$Z$1)+1)</f>
        <v>39.691249961273414</v>
      </c>
      <c r="G960" cm="1">
        <f t="array" aca="1" ref="G960" ca="1">INDEX($O$2:$O$34,INT(A960/$Z$1)+2)</f>
        <v>33.009257413115584</v>
      </c>
      <c r="H960">
        <f t="shared" ca="1" si="115"/>
        <v>-0.20881226712993217</v>
      </c>
      <c r="I960">
        <f t="shared" ca="1" si="116"/>
        <v>-6.2643680138979647</v>
      </c>
      <c r="J960" s="3">
        <f t="shared" ca="1" si="117"/>
        <v>33.426881947375449</v>
      </c>
      <c r="K960" s="3">
        <f t="shared" ca="1" si="118"/>
        <v>7.716373566209711E-2</v>
      </c>
      <c r="L960" s="3"/>
    </row>
    <row r="961" spans="1:12" x14ac:dyDescent="0.3">
      <c r="A961">
        <v>959</v>
      </c>
      <c r="B961" s="2">
        <f t="shared" si="112"/>
        <v>149843.75</v>
      </c>
      <c r="C961" s="2">
        <f t="shared" si="113"/>
        <v>3.6516464683987015E-3</v>
      </c>
      <c r="D961" s="2">
        <f t="shared" si="114"/>
        <v>0.69907291929445137</v>
      </c>
      <c r="E961" s="3">
        <f t="shared" si="119"/>
        <v>33.25833125473001</v>
      </c>
      <c r="F961" cm="1">
        <f t="array" aca="1" ref="F961" ca="1">INDEX($O$2:$O$34,INT(A961/$Z$1)+1)</f>
        <v>39.691249961273414</v>
      </c>
      <c r="G961" cm="1">
        <f t="array" aca="1" ref="G961" ca="1">INDEX($O$2:$O$34,INT(A961/$Z$1)+2)</f>
        <v>33.009257413115584</v>
      </c>
      <c r="H961">
        <f t="shared" ca="1" si="115"/>
        <v>-0.20881226712993217</v>
      </c>
      <c r="I961">
        <f t="shared" ca="1" si="116"/>
        <v>-6.4731802810278971</v>
      </c>
      <c r="J961" s="3">
        <f t="shared" ca="1" si="117"/>
        <v>33.21806968024552</v>
      </c>
      <c r="K961" s="3">
        <f t="shared" ca="1" si="118"/>
        <v>4.0261574484489415E-2</v>
      </c>
      <c r="L961" s="3"/>
    </row>
    <row r="962" spans="1:12" x14ac:dyDescent="0.3">
      <c r="A962">
        <v>960</v>
      </c>
      <c r="B962" s="2">
        <f t="shared" ref="B962:B1025" si="120">$T$1*A962/($V$1-A962)</f>
        <v>152380.95238095237</v>
      </c>
      <c r="C962" s="2">
        <f t="shared" ref="C962:C1025" si="121">LOG(B962/$T$2)/$T$3 + (1/$X$2)</f>
        <v>3.6534925571073623E-3</v>
      </c>
      <c r="D962" s="2">
        <f t="shared" ref="D962:D1025" si="122">1/C962 - 273.15</f>
        <v>0.56069856284199204</v>
      </c>
      <c r="E962" s="3">
        <f t="shared" si="119"/>
        <v>33.009257413115584</v>
      </c>
      <c r="F962" cm="1">
        <f t="array" aca="1" ref="F962" ca="1">INDEX($O$2:$O$34,INT(A962/$Z$1)+1)</f>
        <v>33.009257413115584</v>
      </c>
      <c r="G962" cm="1">
        <f t="array" aca="1" ref="G962" ca="1">INDEX($O$2:$O$34,INT(A962/$Z$1)+2)</f>
        <v>22.249057963683288</v>
      </c>
      <c r="H962">
        <f t="shared" ca="1" si="115"/>
        <v>-0.33625623279475925</v>
      </c>
      <c r="I962">
        <f t="shared" ca="1" si="116"/>
        <v>0</v>
      </c>
      <c r="J962" s="3">
        <f t="shared" ca="1" si="117"/>
        <v>33.009257413115584</v>
      </c>
      <c r="K962" s="3">
        <f t="shared" ca="1" si="118"/>
        <v>0</v>
      </c>
      <c r="L962" s="3"/>
    </row>
    <row r="963" spans="1:12" x14ac:dyDescent="0.3">
      <c r="A963">
        <v>961</v>
      </c>
      <c r="B963" s="2">
        <f t="shared" si="120"/>
        <v>155000</v>
      </c>
      <c r="C963" s="2">
        <f t="shared" si="121"/>
        <v>3.6553662316856673E-3</v>
      </c>
      <c r="D963" s="2">
        <f t="shared" si="122"/>
        <v>0.42039941216819443</v>
      </c>
      <c r="E963" s="3">
        <f t="shared" si="119"/>
        <v>32.756718941902747</v>
      </c>
      <c r="F963" cm="1">
        <f t="array" aca="1" ref="F963" ca="1">INDEX($O$2:$O$34,INT(A963/$Z$1)+1)</f>
        <v>33.009257413115584</v>
      </c>
      <c r="G963" cm="1">
        <f t="array" aca="1" ref="G963" ca="1">INDEX($O$2:$O$34,INT(A963/$Z$1)+2)</f>
        <v>22.249057963683288</v>
      </c>
      <c r="H963">
        <f t="shared" ref="H963:H1025" ca="1" si="123">(G963-F963)/$Z$1</f>
        <v>-0.33625623279475925</v>
      </c>
      <c r="I963">
        <f t="shared" ref="I963:I1025" ca="1" si="124">H963*MOD(A963,$Z$1)</f>
        <v>-0.33625623279475925</v>
      </c>
      <c r="J963" s="3">
        <f t="shared" ref="J963:J1025" ca="1" si="125">F963+I963</f>
        <v>32.673001180320824</v>
      </c>
      <c r="K963" s="3">
        <f t="shared" ref="K963:K1025" ca="1" si="126">E963-J963</f>
        <v>8.37177615819229E-2</v>
      </c>
      <c r="L963" s="3"/>
    </row>
    <row r="964" spans="1:12" x14ac:dyDescent="0.3">
      <c r="A964">
        <v>962</v>
      </c>
      <c r="B964" s="2">
        <f t="shared" si="120"/>
        <v>157704.9180327869</v>
      </c>
      <c r="C964" s="2">
        <f t="shared" si="121"/>
        <v>3.6572683934215549E-3</v>
      </c>
      <c r="D964" s="2">
        <f t="shared" si="122"/>
        <v>0.27811421735736985</v>
      </c>
      <c r="E964" s="3">
        <f t="shared" ref="E964:E1025" si="127">D964*9/5 + 32</f>
        <v>32.500605591243264</v>
      </c>
      <c r="F964" cm="1">
        <f t="array" aca="1" ref="F964" ca="1">INDEX($O$2:$O$34,INT(A964/$Z$1)+1)</f>
        <v>33.009257413115584</v>
      </c>
      <c r="G964" cm="1">
        <f t="array" aca="1" ref="G964" ca="1">INDEX($O$2:$O$34,INT(A964/$Z$1)+2)</f>
        <v>22.249057963683288</v>
      </c>
      <c r="H964">
        <f t="shared" ca="1" si="123"/>
        <v>-0.33625623279475925</v>
      </c>
      <c r="I964">
        <f t="shared" ca="1" si="124"/>
        <v>-0.67251246558951849</v>
      </c>
      <c r="J964" s="3">
        <f t="shared" ca="1" si="125"/>
        <v>32.336744947526064</v>
      </c>
      <c r="K964" s="3">
        <f t="shared" ca="1" si="126"/>
        <v>0.16386064371720011</v>
      </c>
      <c r="L964" s="3"/>
    </row>
    <row r="965" spans="1:12" x14ac:dyDescent="0.3">
      <c r="A965">
        <v>963</v>
      </c>
      <c r="B965" s="2">
        <f t="shared" si="120"/>
        <v>160500</v>
      </c>
      <c r="C965" s="2">
        <f t="shared" si="121"/>
        <v>3.6591999882858192E-3</v>
      </c>
      <c r="D965" s="2">
        <f t="shared" si="122"/>
        <v>0.13377874980750448</v>
      </c>
      <c r="E965" s="3">
        <f t="shared" si="127"/>
        <v>32.240801749653507</v>
      </c>
      <c r="F965" cm="1">
        <f t="array" aca="1" ref="F965" ca="1">INDEX($O$2:$O$34,INT(A965/$Z$1)+1)</f>
        <v>33.009257413115584</v>
      </c>
      <c r="G965" cm="1">
        <f t="array" aca="1" ref="G965" ca="1">INDEX($O$2:$O$34,INT(A965/$Z$1)+2)</f>
        <v>22.249057963683288</v>
      </c>
      <c r="H965">
        <f t="shared" ca="1" si="123"/>
        <v>-0.33625623279475925</v>
      </c>
      <c r="I965">
        <f t="shared" ca="1" si="124"/>
        <v>-1.0087686983842779</v>
      </c>
      <c r="J965" s="3">
        <f t="shared" ca="1" si="125"/>
        <v>32.000488714731304</v>
      </c>
      <c r="K965" s="3">
        <f t="shared" ca="1" si="126"/>
        <v>0.24031303492220246</v>
      </c>
      <c r="L965" s="3"/>
    </row>
    <row r="966" spans="1:12" x14ac:dyDescent="0.3">
      <c r="A966">
        <v>964</v>
      </c>
      <c r="B966" s="2">
        <f t="shared" si="120"/>
        <v>163389.83050847458</v>
      </c>
      <c r="C966" s="2">
        <f t="shared" si="121"/>
        <v>3.6611620099364006E-3</v>
      </c>
      <c r="D966" s="2">
        <f t="shared" si="122"/>
        <v>-1.2674395178862596E-2</v>
      </c>
      <c r="E966" s="3">
        <f t="shared" si="127"/>
        <v>31.977186088678046</v>
      </c>
      <c r="F966" cm="1">
        <f t="array" aca="1" ref="F966" ca="1">INDEX($O$2:$O$34,INT(A966/$Z$1)+1)</f>
        <v>33.009257413115584</v>
      </c>
      <c r="G966" cm="1">
        <f t="array" aca="1" ref="G966" ca="1">INDEX($O$2:$O$34,INT(A966/$Z$1)+2)</f>
        <v>22.249057963683288</v>
      </c>
      <c r="H966">
        <f t="shared" ca="1" si="123"/>
        <v>-0.33625623279475925</v>
      </c>
      <c r="I966">
        <f t="shared" ca="1" si="124"/>
        <v>-1.345024931179037</v>
      </c>
      <c r="J966" s="3">
        <f t="shared" ca="1" si="125"/>
        <v>31.664232481936548</v>
      </c>
      <c r="K966" s="3">
        <f t="shared" ca="1" si="126"/>
        <v>0.31295360674149819</v>
      </c>
      <c r="L966" s="3"/>
    </row>
    <row r="967" spans="1:12" x14ac:dyDescent="0.3">
      <c r="A967">
        <v>965</v>
      </c>
      <c r="B967" s="2">
        <f t="shared" si="120"/>
        <v>166379.31034482759</v>
      </c>
      <c r="C967" s="2">
        <f t="shared" si="121"/>
        <v>3.663155502979481E-3</v>
      </c>
      <c r="D967" s="2">
        <f t="shared" si="122"/>
        <v>-0.16131601248281413</v>
      </c>
      <c r="E967" s="3">
        <f t="shared" si="127"/>
        <v>31.709631177530934</v>
      </c>
      <c r="F967" cm="1">
        <f t="array" aca="1" ref="F967" ca="1">INDEX($O$2:$O$34,INT(A967/$Z$1)+1)</f>
        <v>33.009257413115584</v>
      </c>
      <c r="G967" cm="1">
        <f t="array" aca="1" ref="G967" ca="1">INDEX($O$2:$O$34,INT(A967/$Z$1)+2)</f>
        <v>22.249057963683288</v>
      </c>
      <c r="H967">
        <f t="shared" ca="1" si="123"/>
        <v>-0.33625623279475925</v>
      </c>
      <c r="I967">
        <f t="shared" ca="1" si="124"/>
        <v>-1.6812811639737961</v>
      </c>
      <c r="J967" s="3">
        <f t="shared" ca="1" si="125"/>
        <v>31.327976249141788</v>
      </c>
      <c r="K967" s="3">
        <f t="shared" ca="1" si="126"/>
        <v>0.38165492838914616</v>
      </c>
      <c r="L967" s="3"/>
    </row>
    <row r="968" spans="1:12" x14ac:dyDescent="0.3">
      <c r="A968">
        <v>966</v>
      </c>
      <c r="B968" s="2">
        <f t="shared" si="120"/>
        <v>169473.68421052632</v>
      </c>
      <c r="C968" s="2">
        <f t="shared" si="121"/>
        <v>3.6651815665142019E-3</v>
      </c>
      <c r="D968" s="2">
        <f t="shared" si="122"/>
        <v>-0.31222051966238951</v>
      </c>
      <c r="E968" s="3">
        <f t="shared" si="127"/>
        <v>31.438003064607699</v>
      </c>
      <c r="F968" cm="1">
        <f t="array" aca="1" ref="F968" ca="1">INDEX($O$2:$O$34,INT(A968/$Z$1)+1)</f>
        <v>33.009257413115584</v>
      </c>
      <c r="G968" cm="1">
        <f t="array" aca="1" ref="G968" ca="1">INDEX($O$2:$O$34,INT(A968/$Z$1)+2)</f>
        <v>22.249057963683288</v>
      </c>
      <c r="H968">
        <f t="shared" ca="1" si="123"/>
        <v>-0.33625623279475925</v>
      </c>
      <c r="I968">
        <f t="shared" ca="1" si="124"/>
        <v>-2.0175373967685557</v>
      </c>
      <c r="J968" s="3">
        <f t="shared" ca="1" si="125"/>
        <v>30.991720016347028</v>
      </c>
      <c r="K968" s="3">
        <f t="shared" ca="1" si="126"/>
        <v>0.44628304826067122</v>
      </c>
      <c r="L968" s="3"/>
    </row>
    <row r="969" spans="1:12" x14ac:dyDescent="0.3">
      <c r="A969">
        <v>967</v>
      </c>
      <c r="B969" s="2">
        <f t="shared" si="120"/>
        <v>172678.57142857142</v>
      </c>
      <c r="C969" s="2">
        <f t="shared" si="121"/>
        <v>3.6672413579911128E-3</v>
      </c>
      <c r="D969" s="2">
        <f t="shared" si="122"/>
        <v>-0.46546620978540432</v>
      </c>
      <c r="E969" s="3">
        <f t="shared" si="127"/>
        <v>31.162160822386273</v>
      </c>
      <c r="F969" cm="1">
        <f t="array" aca="1" ref="F969" ca="1">INDEX($O$2:$O$34,INT(A969/$Z$1)+1)</f>
        <v>33.009257413115584</v>
      </c>
      <c r="G969" cm="1">
        <f t="array" aca="1" ref="G969" ca="1">INDEX($O$2:$O$34,INT(A969/$Z$1)+2)</f>
        <v>22.249057963683288</v>
      </c>
      <c r="H969">
        <f t="shared" ca="1" si="123"/>
        <v>-0.33625623279475925</v>
      </c>
      <c r="I969">
        <f t="shared" ca="1" si="124"/>
        <v>-2.3537936295633148</v>
      </c>
      <c r="J969" s="3">
        <f t="shared" ca="1" si="125"/>
        <v>30.655463783552271</v>
      </c>
      <c r="K969" s="3">
        <f t="shared" ca="1" si="126"/>
        <v>0.50669703883400175</v>
      </c>
      <c r="L969" s="3"/>
    </row>
    <row r="970" spans="1:12" x14ac:dyDescent="0.3">
      <c r="A970">
        <v>968</v>
      </c>
      <c r="B970" s="2">
        <f t="shared" si="120"/>
        <v>176000</v>
      </c>
      <c r="C970" s="2">
        <f t="shared" si="121"/>
        <v>3.6693360974182896E-3</v>
      </c>
      <c r="D970" s="2">
        <f t="shared" si="122"/>
        <v>-0.62113552678079031</v>
      </c>
      <c r="E970" s="3">
        <f t="shared" si="127"/>
        <v>30.881956051794578</v>
      </c>
      <c r="F970" cm="1">
        <f t="array" aca="1" ref="F970" ca="1">INDEX($O$2:$O$34,INT(A970/$Z$1)+1)</f>
        <v>33.009257413115584</v>
      </c>
      <c r="G970" cm="1">
        <f t="array" aca="1" ref="G970" ca="1">INDEX($O$2:$O$34,INT(A970/$Z$1)+2)</f>
        <v>22.249057963683288</v>
      </c>
      <c r="H970">
        <f t="shared" ca="1" si="123"/>
        <v>-0.33625623279475925</v>
      </c>
      <c r="I970">
        <f t="shared" ca="1" si="124"/>
        <v>-2.690049862358074</v>
      </c>
      <c r="J970" s="3">
        <f t="shared" ca="1" si="125"/>
        <v>30.319207550757511</v>
      </c>
      <c r="K970" s="3">
        <f t="shared" ca="1" si="126"/>
        <v>0.56274850103706697</v>
      </c>
      <c r="L970" s="3"/>
    </row>
    <row r="971" spans="1:12" x14ac:dyDescent="0.3">
      <c r="A971">
        <v>969</v>
      </c>
      <c r="B971" s="2">
        <f t="shared" si="120"/>
        <v>179444.44444444444</v>
      </c>
      <c r="C971" s="2">
        <f t="shared" si="121"/>
        <v>3.6714670719533902E-3</v>
      </c>
      <c r="D971" s="2">
        <f t="shared" si="122"/>
        <v>-0.77931536576363669</v>
      </c>
      <c r="E971" s="3">
        <f t="shared" si="127"/>
        <v>30.597232341625453</v>
      </c>
      <c r="F971" cm="1">
        <f t="array" aca="1" ref="F971" ca="1">INDEX($O$2:$O$34,INT(A971/$Z$1)+1)</f>
        <v>33.009257413115584</v>
      </c>
      <c r="G971" cm="1">
        <f t="array" aca="1" ref="G971" ca="1">INDEX($O$2:$O$34,INT(A971/$Z$1)+2)</f>
        <v>22.249057963683288</v>
      </c>
      <c r="H971">
        <f t="shared" ca="1" si="123"/>
        <v>-0.33625623279475925</v>
      </c>
      <c r="I971">
        <f t="shared" ca="1" si="124"/>
        <v>-3.0263060951528331</v>
      </c>
      <c r="J971" s="3">
        <f t="shared" ca="1" si="125"/>
        <v>29.982951317962751</v>
      </c>
      <c r="K971" s="3">
        <f t="shared" ca="1" si="126"/>
        <v>0.6142810236627021</v>
      </c>
      <c r="L971" s="3"/>
    </row>
    <row r="972" spans="1:12" x14ac:dyDescent="0.3">
      <c r="A972">
        <v>970</v>
      </c>
      <c r="B972" s="2">
        <f t="shared" si="120"/>
        <v>183018.86792452831</v>
      </c>
      <c r="C972" s="2">
        <f t="shared" si="121"/>
        <v>3.6736356409249496E-3</v>
      </c>
      <c r="D972" s="2">
        <f t="shared" si="122"/>
        <v>-0.94009740110760731</v>
      </c>
      <c r="E972" s="3">
        <f t="shared" si="127"/>
        <v>30.307824678006305</v>
      </c>
      <c r="F972" cm="1">
        <f t="array" aca="1" ref="F972" ca="1">INDEX($O$2:$O$34,INT(A972/$Z$1)+1)</f>
        <v>33.009257413115584</v>
      </c>
      <c r="G972" cm="1">
        <f t="array" aca="1" ref="G972" ca="1">INDEX($O$2:$O$34,INT(A972/$Z$1)+2)</f>
        <v>22.249057963683288</v>
      </c>
      <c r="H972">
        <f t="shared" ca="1" si="123"/>
        <v>-0.33625623279475925</v>
      </c>
      <c r="I972">
        <f t="shared" ca="1" si="124"/>
        <v>-3.3625623279475922</v>
      </c>
      <c r="J972" s="3">
        <f t="shared" ca="1" si="125"/>
        <v>29.646695085167991</v>
      </c>
      <c r="K972" s="3">
        <f t="shared" ca="1" si="126"/>
        <v>0.6611295928383143</v>
      </c>
      <c r="L972" s="3"/>
    </row>
    <row r="973" spans="1:12" x14ac:dyDescent="0.3">
      <c r="A973">
        <v>971</v>
      </c>
      <c r="B973" s="2">
        <f t="shared" si="120"/>
        <v>186730.76923076922</v>
      </c>
      <c r="C973" s="2">
        <f t="shared" si="121"/>
        <v>3.6758432413319746E-3</v>
      </c>
      <c r="D973" s="2">
        <f t="shared" si="122"/>
        <v>-1.1035784454069244</v>
      </c>
      <c r="E973" s="3">
        <f t="shared" si="127"/>
        <v>30.013558798267535</v>
      </c>
      <c r="F973" cm="1">
        <f t="array" aca="1" ref="F973" ca="1">INDEX($O$2:$O$34,INT(A973/$Z$1)+1)</f>
        <v>33.009257413115584</v>
      </c>
      <c r="G973" cm="1">
        <f t="array" aca="1" ref="G973" ca="1">INDEX($O$2:$O$34,INT(A973/$Z$1)+2)</f>
        <v>22.249057963683288</v>
      </c>
      <c r="H973">
        <f t="shared" ca="1" si="123"/>
        <v>-0.33625623279475925</v>
      </c>
      <c r="I973">
        <f t="shared" ca="1" si="124"/>
        <v>-3.6988185607423518</v>
      </c>
      <c r="J973" s="3">
        <f t="shared" ca="1" si="125"/>
        <v>29.310438852373231</v>
      </c>
      <c r="K973" s="3">
        <f t="shared" ca="1" si="126"/>
        <v>0.70311994589430427</v>
      </c>
      <c r="L973" s="3"/>
    </row>
    <row r="974" spans="1:12" x14ac:dyDescent="0.3">
      <c r="A974">
        <v>972</v>
      </c>
      <c r="B974" s="2">
        <f t="shared" si="120"/>
        <v>190588.23529411765</v>
      </c>
      <c r="C974" s="2">
        <f t="shared" si="121"/>
        <v>3.6780913938775778E-3</v>
      </c>
      <c r="D974" s="2">
        <f t="shared" si="122"/>
        <v>-1.2698608428912053</v>
      </c>
      <c r="E974" s="3">
        <f t="shared" si="127"/>
        <v>29.71425048279583</v>
      </c>
      <c r="F974" cm="1">
        <f t="array" aca="1" ref="F974" ca="1">INDEX($O$2:$O$34,INT(A974/$Z$1)+1)</f>
        <v>33.009257413115584</v>
      </c>
      <c r="G974" cm="1">
        <f t="array" aca="1" ref="G974" ca="1">INDEX($O$2:$O$34,INT(A974/$Z$1)+2)</f>
        <v>22.249057963683288</v>
      </c>
      <c r="H974">
        <f t="shared" ca="1" si="123"/>
        <v>-0.33625623279475925</v>
      </c>
      <c r="I974">
        <f t="shared" ca="1" si="124"/>
        <v>-4.0350747935371114</v>
      </c>
      <c r="J974" s="3">
        <f t="shared" ca="1" si="125"/>
        <v>28.974182619578471</v>
      </c>
      <c r="K974" s="3">
        <f t="shared" ca="1" si="126"/>
        <v>0.74006786321735873</v>
      </c>
      <c r="L974" s="3"/>
    </row>
    <row r="975" spans="1:12" x14ac:dyDescent="0.3">
      <c r="A975">
        <v>973</v>
      </c>
      <c r="B975" s="2">
        <f t="shared" si="120"/>
        <v>194600</v>
      </c>
      <c r="C975" s="2">
        <f t="shared" si="121"/>
        <v>3.6803817096001082E-3</v>
      </c>
      <c r="D975" s="2">
        <f t="shared" si="122"/>
        <v>-1.4390529013483615</v>
      </c>
      <c r="E975" s="3">
        <f t="shared" si="127"/>
        <v>29.409704777572948</v>
      </c>
      <c r="F975" cm="1">
        <f t="array" aca="1" ref="F975" ca="1">INDEX($O$2:$O$34,INT(A975/$Z$1)+1)</f>
        <v>33.009257413115584</v>
      </c>
      <c r="G975" cm="1">
        <f t="array" aca="1" ref="G975" ca="1">INDEX($O$2:$O$34,INT(A975/$Z$1)+2)</f>
        <v>22.249057963683288</v>
      </c>
      <c r="H975">
        <f t="shared" ca="1" si="123"/>
        <v>-0.33625623279475925</v>
      </c>
      <c r="I975">
        <f t="shared" ca="1" si="124"/>
        <v>-4.3713310263318705</v>
      </c>
      <c r="J975" s="3">
        <f t="shared" ca="1" si="125"/>
        <v>28.637926386783715</v>
      </c>
      <c r="K975" s="3">
        <f t="shared" ca="1" si="126"/>
        <v>0.77177839078923327</v>
      </c>
      <c r="L975" s="3"/>
    </row>
    <row r="976" spans="1:12" x14ac:dyDescent="0.3">
      <c r="A976">
        <v>974</v>
      </c>
      <c r="B976" s="2">
        <f t="shared" si="120"/>
        <v>198775.51020408163</v>
      </c>
      <c r="C976" s="2">
        <f t="shared" si="121"/>
        <v>3.6827158971742269E-3</v>
      </c>
      <c r="D976" s="2">
        <f t="shared" si="122"/>
        <v>-1.6112693671790339</v>
      </c>
      <c r="E976" s="3">
        <f t="shared" si="127"/>
        <v>29.099715139077738</v>
      </c>
      <c r="F976" cm="1">
        <f t="array" aca="1" ref="F976" ca="1">INDEX($O$2:$O$34,INT(A976/$Z$1)+1)</f>
        <v>33.009257413115584</v>
      </c>
      <c r="G976" cm="1">
        <f t="array" aca="1" ref="G976" ca="1">INDEX($O$2:$O$34,INT(A976/$Z$1)+2)</f>
        <v>22.249057963683288</v>
      </c>
      <c r="H976">
        <f t="shared" ca="1" si="123"/>
        <v>-0.33625623279475925</v>
      </c>
      <c r="I976">
        <f t="shared" ca="1" si="124"/>
        <v>-4.7075872591266297</v>
      </c>
      <c r="J976" s="3">
        <f t="shared" ca="1" si="125"/>
        <v>28.301670153988955</v>
      </c>
      <c r="K976" s="3">
        <f t="shared" ca="1" si="126"/>
        <v>0.79804498508878297</v>
      </c>
      <c r="L976" s="3"/>
    </row>
    <row r="977" spans="1:12" x14ac:dyDescent="0.3">
      <c r="A977">
        <v>975</v>
      </c>
      <c r="B977" s="2">
        <f t="shared" si="120"/>
        <v>203125</v>
      </c>
      <c r="C977" s="2">
        <f t="shared" si="121"/>
        <v>3.6850957709648213E-3</v>
      </c>
      <c r="D977" s="2">
        <f t="shared" si="122"/>
        <v>-1.7866319488671252</v>
      </c>
      <c r="E977" s="3">
        <f t="shared" si="127"/>
        <v>28.784062492039176</v>
      </c>
      <c r="F977" cm="1">
        <f t="array" aca="1" ref="F977" ca="1">INDEX($O$2:$O$34,INT(A977/$Z$1)+1)</f>
        <v>33.009257413115584</v>
      </c>
      <c r="G977" cm="1">
        <f t="array" aca="1" ref="G977" ca="1">INDEX($O$2:$O$34,INT(A977/$Z$1)+2)</f>
        <v>22.249057963683288</v>
      </c>
      <c r="H977">
        <f t="shared" ca="1" si="123"/>
        <v>-0.33625623279475925</v>
      </c>
      <c r="I977">
        <f t="shared" ca="1" si="124"/>
        <v>-5.0438434919213888</v>
      </c>
      <c r="J977" s="3">
        <f t="shared" ca="1" si="125"/>
        <v>27.965413921194195</v>
      </c>
      <c r="K977" s="3">
        <f t="shared" ca="1" si="126"/>
        <v>0.81864857084498155</v>
      </c>
      <c r="L977" s="3"/>
    </row>
    <row r="978" spans="1:12" x14ac:dyDescent="0.3">
      <c r="A978">
        <v>976</v>
      </c>
      <c r="B978" s="2">
        <f t="shared" si="120"/>
        <v>207659.57446808511</v>
      </c>
      <c r="C978" s="2">
        <f t="shared" si="121"/>
        <v>3.6875232599288782E-3</v>
      </c>
      <c r="D978" s="2">
        <f t="shared" si="122"/>
        <v>-1.9652698949247451</v>
      </c>
      <c r="E978" s="3">
        <f t="shared" si="127"/>
        <v>28.462514189135458</v>
      </c>
      <c r="F978" cm="1">
        <f t="array" aca="1" ref="F978" ca="1">INDEX($O$2:$O$34,INT(A978/$Z$1)+1)</f>
        <v>33.009257413115584</v>
      </c>
      <c r="G978" cm="1">
        <f t="array" aca="1" ref="G978" ca="1">INDEX($O$2:$O$34,INT(A978/$Z$1)+2)</f>
        <v>22.249057963683288</v>
      </c>
      <c r="H978">
        <f t="shared" ca="1" si="123"/>
        <v>-0.33625623279475925</v>
      </c>
      <c r="I978">
        <f t="shared" ca="1" si="124"/>
        <v>-5.3800997247161479</v>
      </c>
      <c r="J978" s="3">
        <f t="shared" ca="1" si="125"/>
        <v>27.629157688399438</v>
      </c>
      <c r="K978" s="3">
        <f t="shared" ca="1" si="126"/>
        <v>0.83335650073601997</v>
      </c>
      <c r="L978" s="3"/>
    </row>
    <row r="979" spans="1:12" x14ac:dyDescent="0.3">
      <c r="A979">
        <v>977</v>
      </c>
      <c r="B979" s="2">
        <f t="shared" si="120"/>
        <v>212391.30434782608</v>
      </c>
      <c r="C979" s="2">
        <f t="shared" si="121"/>
        <v>3.690000417474758E-3</v>
      </c>
      <c r="D979" s="2">
        <f t="shared" si="122"/>
        <v>-2.1473206332731252</v>
      </c>
      <c r="E979" s="3">
        <f t="shared" si="127"/>
        <v>28.134822860108375</v>
      </c>
      <c r="F979" cm="1">
        <f t="array" aca="1" ref="F979" ca="1">INDEX($O$2:$O$34,INT(A979/$Z$1)+1)</f>
        <v>33.009257413115584</v>
      </c>
      <c r="G979" cm="1">
        <f t="array" aca="1" ref="G979" ca="1">INDEX($O$2:$O$34,INT(A979/$Z$1)+2)</f>
        <v>22.249057963683288</v>
      </c>
      <c r="H979">
        <f t="shared" ca="1" si="123"/>
        <v>-0.33625623279475925</v>
      </c>
      <c r="I979">
        <f t="shared" ca="1" si="124"/>
        <v>-5.7163559575109071</v>
      </c>
      <c r="J979" s="3">
        <f t="shared" ca="1" si="125"/>
        <v>27.292901455604678</v>
      </c>
      <c r="K979" s="3">
        <f t="shared" ca="1" si="126"/>
        <v>0.84192140450369735</v>
      </c>
      <c r="L979" s="3"/>
    </row>
    <row r="980" spans="1:12" x14ac:dyDescent="0.3">
      <c r="A980">
        <v>978</v>
      </c>
      <c r="B980" s="2">
        <f t="shared" si="120"/>
        <v>217333.33333333334</v>
      </c>
      <c r="C980" s="2">
        <f t="shared" si="121"/>
        <v>3.6925294324051524E-3</v>
      </c>
      <c r="D980" s="2">
        <f t="shared" si="122"/>
        <v>-2.3329304800845421</v>
      </c>
      <c r="E980" s="3">
        <f t="shared" si="127"/>
        <v>27.800725135847824</v>
      </c>
      <c r="F980" cm="1">
        <f t="array" aca="1" ref="F980" ca="1">INDEX($O$2:$O$34,INT(A980/$Z$1)+1)</f>
        <v>33.009257413115584</v>
      </c>
      <c r="G980" cm="1">
        <f t="array" aca="1" ref="G980" ca="1">INDEX($O$2:$O$34,INT(A980/$Z$1)+2)</f>
        <v>22.249057963683288</v>
      </c>
      <c r="H980">
        <f t="shared" ca="1" si="123"/>
        <v>-0.33625623279475925</v>
      </c>
      <c r="I980">
        <f t="shared" ca="1" si="124"/>
        <v>-6.0526121903056662</v>
      </c>
      <c r="J980" s="3">
        <f t="shared" ca="1" si="125"/>
        <v>26.956645222809918</v>
      </c>
      <c r="K980" s="3">
        <f t="shared" ca="1" si="126"/>
        <v>0.84407991303790553</v>
      </c>
      <c r="L980" s="3"/>
    </row>
    <row r="981" spans="1:12" x14ac:dyDescent="0.3">
      <c r="A981">
        <v>979</v>
      </c>
      <c r="B981" s="2">
        <f t="shared" si="120"/>
        <v>222500</v>
      </c>
      <c r="C981" s="2">
        <f t="shared" si="121"/>
        <v>3.6951126410898847E-3</v>
      </c>
      <c r="D981" s="2">
        <f t="shared" si="122"/>
        <v>-2.5222554273617561</v>
      </c>
      <c r="E981" s="3">
        <f t="shared" si="127"/>
        <v>27.459940230748838</v>
      </c>
      <c r="F981" cm="1">
        <f t="array" aca="1" ref="F981" ca="1">INDEX($O$2:$O$34,INT(A981/$Z$1)+1)</f>
        <v>33.009257413115584</v>
      </c>
      <c r="G981" cm="1">
        <f t="array" aca="1" ref="G981" ca="1">INDEX($O$2:$O$34,INT(A981/$Z$1)+2)</f>
        <v>22.249057963683288</v>
      </c>
      <c r="H981">
        <f t="shared" ca="1" si="123"/>
        <v>-0.33625623279475925</v>
      </c>
      <c r="I981">
        <f t="shared" ca="1" si="124"/>
        <v>-6.3888684231004254</v>
      </c>
      <c r="J981" s="3">
        <f t="shared" ca="1" si="125"/>
        <v>26.620388990015158</v>
      </c>
      <c r="K981" s="3">
        <f t="shared" ca="1" si="126"/>
        <v>0.83955124073368026</v>
      </c>
      <c r="L981" s="3"/>
    </row>
    <row r="982" spans="1:12" x14ac:dyDescent="0.3">
      <c r="A982">
        <v>980</v>
      </c>
      <c r="B982" s="2">
        <f t="shared" si="120"/>
        <v>227906.97674418605</v>
      </c>
      <c r="C982" s="2">
        <f t="shared" si="121"/>
        <v>3.6977525410382284E-3</v>
      </c>
      <c r="D982" s="2">
        <f t="shared" si="122"/>
        <v>-2.7154620200119552</v>
      </c>
      <c r="E982" s="3">
        <f t="shared" si="127"/>
        <v>27.11216836397848</v>
      </c>
      <c r="F982" cm="1">
        <f t="array" aca="1" ref="F982" ca="1">INDEX($O$2:$O$34,INT(A982/$Z$1)+1)</f>
        <v>33.009257413115584</v>
      </c>
      <c r="G982" cm="1">
        <f t="array" aca="1" ref="G982" ca="1">INDEX($O$2:$O$34,INT(A982/$Z$1)+2)</f>
        <v>22.249057963683288</v>
      </c>
      <c r="H982">
        <f t="shared" ca="1" si="123"/>
        <v>-0.33625623279475925</v>
      </c>
      <c r="I982">
        <f t="shared" ca="1" si="124"/>
        <v>-6.7251246558951845</v>
      </c>
      <c r="J982" s="3">
        <f t="shared" ca="1" si="125"/>
        <v>26.284132757220398</v>
      </c>
      <c r="K982" s="3">
        <f t="shared" ca="1" si="126"/>
        <v>0.82803560675808185</v>
      </c>
      <c r="L982" s="3"/>
    </row>
    <row r="983" spans="1:12" x14ac:dyDescent="0.3">
      <c r="A983">
        <v>981</v>
      </c>
      <c r="B983" s="2">
        <f t="shared" si="120"/>
        <v>233571.42857142858</v>
      </c>
      <c r="C983" s="2">
        <f t="shared" si="121"/>
        <v>3.7004518060683904E-3</v>
      </c>
      <c r="D983" s="2">
        <f t="shared" si="122"/>
        <v>-2.9127283349306481</v>
      </c>
      <c r="E983" s="3">
        <f t="shared" si="127"/>
        <v>26.757088997124832</v>
      </c>
      <c r="F983" cm="1">
        <f t="array" aca="1" ref="F983" ca="1">INDEX($O$2:$O$34,INT(A983/$Z$1)+1)</f>
        <v>33.009257413115584</v>
      </c>
      <c r="G983" cm="1">
        <f t="array" aca="1" ref="G983" ca="1">INDEX($O$2:$O$34,INT(A983/$Z$1)+2)</f>
        <v>22.249057963683288</v>
      </c>
      <c r="H983">
        <f t="shared" ca="1" si="123"/>
        <v>-0.33625623279475925</v>
      </c>
      <c r="I983">
        <f t="shared" ca="1" si="124"/>
        <v>-7.0613808886899445</v>
      </c>
      <c r="J983" s="3">
        <f t="shared" ca="1" si="125"/>
        <v>25.947876524425638</v>
      </c>
      <c r="K983" s="3">
        <f t="shared" ca="1" si="126"/>
        <v>0.80921247269919405</v>
      </c>
      <c r="L983" s="3"/>
    </row>
    <row r="984" spans="1:12" x14ac:dyDescent="0.3">
      <c r="A984">
        <v>982</v>
      </c>
      <c r="B984" s="2">
        <f t="shared" si="120"/>
        <v>239512.19512195123</v>
      </c>
      <c r="C984" s="2">
        <f t="shared" si="121"/>
        <v>3.7032133033051413E-3</v>
      </c>
      <c r="D984" s="2">
        <f t="shared" si="122"/>
        <v>-3.1142450767030709</v>
      </c>
      <c r="E984" s="3">
        <f t="shared" si="127"/>
        <v>26.394358861934471</v>
      </c>
      <c r="F984" cm="1">
        <f t="array" aca="1" ref="F984" ca="1">INDEX($O$2:$O$34,INT(A984/$Z$1)+1)</f>
        <v>33.009257413115584</v>
      </c>
      <c r="G984" cm="1">
        <f t="array" aca="1" ref="G984" ca="1">INDEX($O$2:$O$34,INT(A984/$Z$1)+2)</f>
        <v>22.249057963683288</v>
      </c>
      <c r="H984">
        <f t="shared" ca="1" si="123"/>
        <v>-0.33625623279475925</v>
      </c>
      <c r="I984">
        <f t="shared" ca="1" si="124"/>
        <v>-7.3976371214847036</v>
      </c>
      <c r="J984" s="3">
        <f t="shared" ca="1" si="125"/>
        <v>25.611620291630881</v>
      </c>
      <c r="K984" s="3">
        <f t="shared" ca="1" si="126"/>
        <v>0.7827385703035894</v>
      </c>
      <c r="L984" s="3"/>
    </row>
    <row r="985" spans="1:12" x14ac:dyDescent="0.3">
      <c r="A985">
        <v>983</v>
      </c>
      <c r="B985" s="2">
        <f t="shared" si="120"/>
        <v>245750</v>
      </c>
      <c r="C985" s="2">
        <f t="shared" si="121"/>
        <v>3.7060401122765234E-3</v>
      </c>
      <c r="D985" s="2">
        <f t="shared" si="122"/>
        <v>-3.3202168070366156</v>
      </c>
      <c r="E985" s="3">
        <f t="shared" si="127"/>
        <v>26.023609747334092</v>
      </c>
      <c r="F985" cm="1">
        <f t="array" aca="1" ref="F985" ca="1">INDEX($O$2:$O$34,INT(A985/$Z$1)+1)</f>
        <v>33.009257413115584</v>
      </c>
      <c r="G985" cm="1">
        <f t="array" aca="1" ref="G985" ca="1">INDEX($O$2:$O$34,INT(A985/$Z$1)+2)</f>
        <v>22.249057963683288</v>
      </c>
      <c r="H985">
        <f t="shared" ca="1" si="123"/>
        <v>-0.33625623279475925</v>
      </c>
      <c r="I985">
        <f t="shared" ca="1" si="124"/>
        <v>-7.7338933542794628</v>
      </c>
      <c r="J985" s="3">
        <f t="shared" ca="1" si="125"/>
        <v>25.275364058836121</v>
      </c>
      <c r="K985" s="3">
        <f t="shared" ca="1" si="126"/>
        <v>0.74824568849797046</v>
      </c>
      <c r="L985" s="3"/>
    </row>
    <row r="986" spans="1:12" x14ac:dyDescent="0.3">
      <c r="A986">
        <v>984</v>
      </c>
      <c r="B986" s="2">
        <f t="shared" si="120"/>
        <v>252307.69230769231</v>
      </c>
      <c r="C986" s="2">
        <f t="shared" si="121"/>
        <v>3.7089355464285916E-3</v>
      </c>
      <c r="D986" s="2">
        <f t="shared" si="122"/>
        <v>-3.5308633280456547</v>
      </c>
      <c r="E986" s="3">
        <f t="shared" si="127"/>
        <v>25.644446009517821</v>
      </c>
      <c r="F986" cm="1">
        <f t="array" aca="1" ref="F986" ca="1">INDEX($O$2:$O$34,INT(A986/$Z$1)+1)</f>
        <v>33.009257413115584</v>
      </c>
      <c r="G986" cm="1">
        <f t="array" aca="1" ref="G986" ca="1">INDEX($O$2:$O$34,INT(A986/$Z$1)+2)</f>
        <v>22.249057963683288</v>
      </c>
      <c r="H986">
        <f t="shared" ca="1" si="123"/>
        <v>-0.33625623279475925</v>
      </c>
      <c r="I986">
        <f t="shared" ca="1" si="124"/>
        <v>-8.0701495870742228</v>
      </c>
      <c r="J986" s="3">
        <f t="shared" ca="1" si="125"/>
        <v>24.939107826041361</v>
      </c>
      <c r="K986" s="3">
        <f t="shared" ca="1" si="126"/>
        <v>0.70533818347646005</v>
      </c>
      <c r="L986" s="3"/>
    </row>
    <row r="987" spans="1:12" x14ac:dyDescent="0.3">
      <c r="A987">
        <v>985</v>
      </c>
      <c r="B987" s="2">
        <f t="shared" si="120"/>
        <v>259210.52631578947</v>
      </c>
      <c r="C987" s="2">
        <f t="shared" si="121"/>
        <v>3.7119031774351637E-3</v>
      </c>
      <c r="D987" s="2">
        <f t="shared" si="122"/>
        <v>-3.7464212431381156</v>
      </c>
      <c r="E987" s="3">
        <f t="shared" si="127"/>
        <v>25.256441762351393</v>
      </c>
      <c r="F987" cm="1">
        <f t="array" aca="1" ref="F987" ca="1">INDEX($O$2:$O$34,INT(A987/$Z$1)+1)</f>
        <v>33.009257413115584</v>
      </c>
      <c r="G987" cm="1">
        <f t="array" aca="1" ref="G987" ca="1">INDEX($O$2:$O$34,INT(A987/$Z$1)+2)</f>
        <v>22.249057963683288</v>
      </c>
      <c r="H987">
        <f t="shared" ca="1" si="123"/>
        <v>-0.33625623279475925</v>
      </c>
      <c r="I987">
        <f t="shared" ca="1" si="124"/>
        <v>-8.4064058198689811</v>
      </c>
      <c r="J987" s="3">
        <f t="shared" ca="1" si="125"/>
        <v>24.602851593246605</v>
      </c>
      <c r="K987" s="3">
        <f t="shared" ca="1" si="126"/>
        <v>0.65359016910478829</v>
      </c>
      <c r="L987" s="3"/>
    </row>
    <row r="988" spans="1:12" x14ac:dyDescent="0.3">
      <c r="A988">
        <v>986</v>
      </c>
      <c r="B988" s="2">
        <f t="shared" si="120"/>
        <v>266486.48648648651</v>
      </c>
      <c r="C988" s="2">
        <f t="shared" si="121"/>
        <v>3.714946862749952E-3</v>
      </c>
      <c r="D988" s="2">
        <f t="shared" si="122"/>
        <v>-3.967145723651015</v>
      </c>
      <c r="E988" s="3">
        <f t="shared" si="127"/>
        <v>24.859137697428174</v>
      </c>
      <c r="F988" cm="1">
        <f t="array" aca="1" ref="F988" ca="1">INDEX($O$2:$O$34,INT(A988/$Z$1)+1)</f>
        <v>33.009257413115584</v>
      </c>
      <c r="G988" cm="1">
        <f t="array" aca="1" ref="G988" ca="1">INDEX($O$2:$O$34,INT(A988/$Z$1)+2)</f>
        <v>22.249057963683288</v>
      </c>
      <c r="H988">
        <f t="shared" ca="1" si="123"/>
        <v>-0.33625623279475925</v>
      </c>
      <c r="I988">
        <f t="shared" ca="1" si="124"/>
        <v>-8.7426620526637411</v>
      </c>
      <c r="J988" s="3">
        <f t="shared" ca="1" si="125"/>
        <v>24.266595360451845</v>
      </c>
      <c r="K988" s="3">
        <f t="shared" ca="1" si="126"/>
        <v>0.59254233697632941</v>
      </c>
      <c r="L988" s="3"/>
    </row>
    <row r="989" spans="1:12" x14ac:dyDescent="0.3">
      <c r="A989">
        <v>987</v>
      </c>
      <c r="B989" s="2">
        <f t="shared" si="120"/>
        <v>274166.66666666669</v>
      </c>
      <c r="C989" s="2">
        <f t="shared" si="121"/>
        <v>3.7180707769342899E-3</v>
      </c>
      <c r="D989" s="2">
        <f t="shared" si="122"/>
        <v>-4.1933125147382952</v>
      </c>
      <c r="E989" s="3">
        <f t="shared" si="127"/>
        <v>24.452037473471069</v>
      </c>
      <c r="F989" cm="1">
        <f t="array" aca="1" ref="F989" ca="1">INDEX($O$2:$O$34,INT(A989/$Z$1)+1)</f>
        <v>33.009257413115584</v>
      </c>
      <c r="G989" cm="1">
        <f t="array" aca="1" ref="G989" ca="1">INDEX($O$2:$O$34,INT(A989/$Z$1)+2)</f>
        <v>22.249057963683288</v>
      </c>
      <c r="H989">
        <f t="shared" ca="1" si="123"/>
        <v>-0.33625623279475925</v>
      </c>
      <c r="I989">
        <f t="shared" ca="1" si="124"/>
        <v>-9.0789182854584993</v>
      </c>
      <c r="J989" s="3">
        <f t="shared" ca="1" si="125"/>
        <v>23.930339127657085</v>
      </c>
      <c r="K989" s="3">
        <f t="shared" ca="1" si="126"/>
        <v>0.52169834581398433</v>
      </c>
      <c r="L989" s="3"/>
    </row>
    <row r="990" spans="1:12" x14ac:dyDescent="0.3">
      <c r="A990">
        <v>988</v>
      </c>
      <c r="B990" s="2">
        <f t="shared" si="120"/>
        <v>282285.71428571426</v>
      </c>
      <c r="C990" s="2">
        <f t="shared" si="121"/>
        <v>3.7212794473988472E-3</v>
      </c>
      <c r="D990" s="2">
        <f t="shared" si="122"/>
        <v>-4.4252202205630624</v>
      </c>
      <c r="E990" s="3">
        <f t="shared" si="127"/>
        <v>24.034603602986486</v>
      </c>
      <c r="F990" cm="1">
        <f t="array" aca="1" ref="F990" ca="1">INDEX($O$2:$O$34,INT(A990/$Z$1)+1)</f>
        <v>33.009257413115584</v>
      </c>
      <c r="G990" cm="1">
        <f t="array" aca="1" ref="G990" ca="1">INDEX($O$2:$O$34,INT(A990/$Z$1)+2)</f>
        <v>22.249057963683288</v>
      </c>
      <c r="H990">
        <f t="shared" ca="1" si="123"/>
        <v>-0.33625623279475925</v>
      </c>
      <c r="I990">
        <f t="shared" ca="1" si="124"/>
        <v>-9.4151745182532594</v>
      </c>
      <c r="J990" s="3">
        <f t="shared" ca="1" si="125"/>
        <v>23.594082894862325</v>
      </c>
      <c r="K990" s="3">
        <f t="shared" ca="1" si="126"/>
        <v>0.44052070812416133</v>
      </c>
      <c r="L990" s="3"/>
    </row>
    <row r="991" spans="1:12" x14ac:dyDescent="0.3">
      <c r="A991">
        <v>989</v>
      </c>
      <c r="B991" s="2">
        <f t="shared" si="120"/>
        <v>290882.35294117645</v>
      </c>
      <c r="C991" s="2">
        <f t="shared" si="121"/>
        <v>3.7245777953273467E-3</v>
      </c>
      <c r="D991" s="2">
        <f t="shared" si="122"/>
        <v>-4.6631929169137152</v>
      </c>
      <c r="E991" s="3">
        <f t="shared" si="127"/>
        <v>23.606252749555313</v>
      </c>
      <c r="F991" cm="1">
        <f t="array" aca="1" ref="F991" ca="1">INDEX($O$2:$O$34,INT(A991/$Z$1)+1)</f>
        <v>33.009257413115584</v>
      </c>
      <c r="G991" cm="1">
        <f t="array" aca="1" ref="G991" ca="1">INDEX($O$2:$O$34,INT(A991/$Z$1)+2)</f>
        <v>22.249057963683288</v>
      </c>
      <c r="H991">
        <f t="shared" ca="1" si="123"/>
        <v>-0.33625623279475925</v>
      </c>
      <c r="I991">
        <f t="shared" ca="1" si="124"/>
        <v>-9.7514307510480176</v>
      </c>
      <c r="J991" s="3">
        <f t="shared" ca="1" si="125"/>
        <v>23.257826662067565</v>
      </c>
      <c r="K991" s="3">
        <f t="shared" ca="1" si="126"/>
        <v>0.3484260874877485</v>
      </c>
      <c r="L991" s="3"/>
    </row>
    <row r="992" spans="1:12" x14ac:dyDescent="0.3">
      <c r="A992">
        <v>990</v>
      </c>
      <c r="B992" s="2">
        <f t="shared" si="120"/>
        <v>300000</v>
      </c>
      <c r="C992" s="2">
        <f t="shared" si="121"/>
        <v>3.7279711827108248E-3</v>
      </c>
      <c r="D992" s="2">
        <f t="shared" si="122"/>
        <v>-4.9075831493306055</v>
      </c>
      <c r="E992" s="3">
        <f t="shared" si="127"/>
        <v>23.16635033120491</v>
      </c>
      <c r="F992" cm="1">
        <f t="array" aca="1" ref="F992" ca="1">INDEX($O$2:$O$34,INT(A992/$Z$1)+1)</f>
        <v>33.009257413115584</v>
      </c>
      <c r="G992" cm="1">
        <f t="array" aca="1" ref="G992" ca="1">INDEX($O$2:$O$34,INT(A992/$Z$1)+2)</f>
        <v>22.249057963683288</v>
      </c>
      <c r="H992">
        <f t="shared" ca="1" si="123"/>
        <v>-0.33625623279475925</v>
      </c>
      <c r="I992">
        <f t="shared" ca="1" si="124"/>
        <v>-10.087686983842778</v>
      </c>
      <c r="J992" s="3">
        <f t="shared" ca="1" si="125"/>
        <v>22.921570429272805</v>
      </c>
      <c r="K992" s="3">
        <f t="shared" ca="1" si="126"/>
        <v>0.2447799019321053</v>
      </c>
      <c r="L992" s="3"/>
    </row>
    <row r="993" spans="1:12" x14ac:dyDescent="0.3">
      <c r="A993">
        <v>991</v>
      </c>
      <c r="B993" s="2">
        <f t="shared" si="120"/>
        <v>309687.5</v>
      </c>
      <c r="C993" s="2">
        <f t="shared" si="121"/>
        <v>3.73146546662113E-3</v>
      </c>
      <c r="D993" s="2">
        <f t="shared" si="122"/>
        <v>-5.1587753872454982</v>
      </c>
      <c r="E993" s="3">
        <f t="shared" si="127"/>
        <v>22.714204302958102</v>
      </c>
      <c r="F993" cm="1">
        <f t="array" aca="1" ref="F993" ca="1">INDEX($O$2:$O$34,INT(A993/$Z$1)+1)</f>
        <v>33.009257413115584</v>
      </c>
      <c r="G993" cm="1">
        <f t="array" aca="1" ref="G993" ca="1">INDEX($O$2:$O$34,INT(A993/$Z$1)+2)</f>
        <v>22.249057963683288</v>
      </c>
      <c r="H993">
        <f t="shared" ca="1" si="123"/>
        <v>-0.33625623279475925</v>
      </c>
      <c r="I993">
        <f t="shared" ca="1" si="124"/>
        <v>-10.423943216637536</v>
      </c>
      <c r="J993" s="3">
        <f t="shared" ca="1" si="125"/>
        <v>22.585314196478048</v>
      </c>
      <c r="K993" s="3">
        <f t="shared" ca="1" si="126"/>
        <v>0.12889010648005339</v>
      </c>
      <c r="L993" s="3"/>
    </row>
    <row r="994" spans="1:12" x14ac:dyDescent="0.3">
      <c r="A994">
        <v>992</v>
      </c>
      <c r="B994" s="2">
        <f t="shared" si="120"/>
        <v>320000</v>
      </c>
      <c r="C994" s="2">
        <f t="shared" si="121"/>
        <v>3.7350670621032912E-3</v>
      </c>
      <c r="D994" s="2">
        <f t="shared" si="122"/>
        <v>-5.4171900201759513</v>
      </c>
      <c r="E994" s="3">
        <f t="shared" si="127"/>
        <v>22.249057963683288</v>
      </c>
      <c r="F994" cm="1">
        <f t="array" aca="1" ref="F994" ca="1">INDEX($O$2:$O$34,INT(A994/$Z$1)+1)</f>
        <v>22.249057963683288</v>
      </c>
      <c r="G994" cm="1">
        <f t="array" aca="1" ref="G994" ca="1">INDEX($O$2:$O$34,INT(A994/$Z$1)+2)</f>
        <v>0</v>
      </c>
      <c r="H994">
        <f t="shared" ca="1" si="123"/>
        <v>-0.69528306136510276</v>
      </c>
      <c r="I994">
        <f t="shared" ca="1" si="124"/>
        <v>0</v>
      </c>
      <c r="J994" s="3">
        <f t="shared" ca="1" si="125"/>
        <v>22.249057963683288</v>
      </c>
      <c r="K994" s="3">
        <f t="shared" ca="1" si="126"/>
        <v>0</v>
      </c>
      <c r="L994" s="3"/>
    </row>
    <row r="995" spans="1:12" x14ac:dyDescent="0.3">
      <c r="A995">
        <v>993</v>
      </c>
      <c r="B995" s="2">
        <f t="shared" si="120"/>
        <v>331000</v>
      </c>
      <c r="C995" s="2">
        <f t="shared" si="121"/>
        <v>3.738783015383244E-3</v>
      </c>
      <c r="D995" s="2">
        <f t="shared" si="122"/>
        <v>-5.6832880016052059</v>
      </c>
      <c r="E995" s="3">
        <f t="shared" si="127"/>
        <v>21.770081597110629</v>
      </c>
      <c r="F995" cm="1">
        <f t="array" aca="1" ref="F995" ca="1">INDEX($O$2:$O$34,INT(A995/$Z$1)+1)</f>
        <v>22.249057963683288</v>
      </c>
      <c r="G995" cm="1">
        <f t="array" aca="1" ref="G995" ca="1">INDEX($O$2:$O$34,INT(A995/$Z$1)+2)</f>
        <v>0</v>
      </c>
      <c r="H995">
        <f t="shared" ca="1" si="123"/>
        <v>-0.69528306136510276</v>
      </c>
      <c r="I995">
        <f t="shared" ca="1" si="124"/>
        <v>-0.69528306136510276</v>
      </c>
      <c r="J995" s="3">
        <f t="shared" ca="1" si="125"/>
        <v>21.553774902318185</v>
      </c>
      <c r="K995" s="3">
        <f t="shared" ca="1" si="126"/>
        <v>0.21630669479244347</v>
      </c>
      <c r="L995" s="3"/>
    </row>
    <row r="996" spans="1:12" x14ac:dyDescent="0.3">
      <c r="A996">
        <v>994</v>
      </c>
      <c r="B996" s="2">
        <f t="shared" si="120"/>
        <v>342758.62068965519</v>
      </c>
      <c r="C996" s="2">
        <f t="shared" si="121"/>
        <v>3.742621089490241E-3</v>
      </c>
      <c r="D996" s="2">
        <f t="shared" si="122"/>
        <v>-5.9575762710448998</v>
      </c>
      <c r="E996" s="3">
        <f t="shared" si="127"/>
        <v>21.27636271211918</v>
      </c>
      <c r="F996" cm="1">
        <f t="array" aca="1" ref="F996" ca="1">INDEX($O$2:$O$34,INT(A996/$Z$1)+1)</f>
        <v>22.249057963683288</v>
      </c>
      <c r="G996" cm="1">
        <f t="array" aca="1" ref="G996" ca="1">INDEX($O$2:$O$34,INT(A996/$Z$1)+2)</f>
        <v>0</v>
      </c>
      <c r="H996">
        <f t="shared" ca="1" si="123"/>
        <v>-0.69528306136510276</v>
      </c>
      <c r="I996">
        <f t="shared" ca="1" si="124"/>
        <v>-1.3905661227302055</v>
      </c>
      <c r="J996" s="3">
        <f t="shared" ca="1" si="125"/>
        <v>20.858491840953082</v>
      </c>
      <c r="K996" s="3">
        <f t="shared" ca="1" si="126"/>
        <v>0.41787087116609811</v>
      </c>
      <c r="L996" s="3"/>
    </row>
    <row r="997" spans="1:12" x14ac:dyDescent="0.3">
      <c r="A997">
        <v>995</v>
      </c>
      <c r="B997" s="2">
        <f t="shared" si="120"/>
        <v>355357.14285714284</v>
      </c>
      <c r="C997" s="2">
        <f t="shared" si="121"/>
        <v>3.746589864909266E-3</v>
      </c>
      <c r="D997" s="2">
        <f t="shared" si="122"/>
        <v>-6.2406141165740223</v>
      </c>
      <c r="E997" s="3">
        <f t="shared" si="127"/>
        <v>20.766894590166761</v>
      </c>
      <c r="F997" cm="1">
        <f t="array" aca="1" ref="F997" ca="1">INDEX($O$2:$O$34,INT(A997/$Z$1)+1)</f>
        <v>22.249057963683288</v>
      </c>
      <c r="G997" cm="1">
        <f t="array" aca="1" ref="G997" ca="1">INDEX($O$2:$O$34,INT(A997/$Z$1)+2)</f>
        <v>0</v>
      </c>
      <c r="H997">
        <f t="shared" ca="1" si="123"/>
        <v>-0.69528306136510276</v>
      </c>
      <c r="I997">
        <f t="shared" ca="1" si="124"/>
        <v>-2.0858491840953084</v>
      </c>
      <c r="J997" s="3">
        <f t="shared" ca="1" si="125"/>
        <v>20.163208779587979</v>
      </c>
      <c r="K997" s="3">
        <f t="shared" ca="1" si="126"/>
        <v>0.60368581057878146</v>
      </c>
      <c r="L997" s="3"/>
    </row>
    <row r="998" spans="1:12" x14ac:dyDescent="0.3">
      <c r="A998">
        <v>996</v>
      </c>
      <c r="B998" s="2">
        <f t="shared" si="120"/>
        <v>368888.88888888888</v>
      </c>
      <c r="C998" s="2">
        <f t="shared" si="121"/>
        <v>3.7506988585450144E-3</v>
      </c>
      <c r="D998" s="2">
        <f t="shared" si="122"/>
        <v>-6.5330206811314042</v>
      </c>
      <c r="E998" s="3">
        <f t="shared" si="127"/>
        <v>20.240562773963472</v>
      </c>
      <c r="F998" cm="1">
        <f t="array" aca="1" ref="F998" ca="1">INDEX($O$2:$O$34,INT(A998/$Z$1)+1)</f>
        <v>22.249057963683288</v>
      </c>
      <c r="G998" cm="1">
        <f t="array" aca="1" ref="G998" ca="1">INDEX($O$2:$O$34,INT(A998/$Z$1)+2)</f>
        <v>0</v>
      </c>
      <c r="H998">
        <f t="shared" ca="1" si="123"/>
        <v>-0.69528306136510276</v>
      </c>
      <c r="I998">
        <f t="shared" ca="1" si="124"/>
        <v>-2.781132245460411</v>
      </c>
      <c r="J998" s="3">
        <f t="shared" ca="1" si="125"/>
        <v>19.467925718222876</v>
      </c>
      <c r="K998" s="3">
        <f t="shared" ca="1" si="126"/>
        <v>0.77263705574059571</v>
      </c>
      <c r="L998" s="3"/>
    </row>
    <row r="999" spans="1:12" x14ac:dyDescent="0.3">
      <c r="A999">
        <v>997</v>
      </c>
      <c r="B999" s="2">
        <f t="shared" si="120"/>
        <v>383461.53846153844</v>
      </c>
      <c r="C999" s="2">
        <f t="shared" si="121"/>
        <v>3.7549586651465651E-3</v>
      </c>
      <c r="D999" s="2">
        <f t="shared" si="122"/>
        <v>-6.8354838691100213</v>
      </c>
      <c r="E999" s="3">
        <f t="shared" si="127"/>
        <v>19.696129035601963</v>
      </c>
      <c r="F999" cm="1">
        <f t="array" aca="1" ref="F999" ca="1">INDEX($O$2:$O$34,INT(A999/$Z$1)+1)</f>
        <v>22.249057963683288</v>
      </c>
      <c r="G999" cm="1">
        <f t="array" aca="1" ref="G999" ca="1">INDEX($O$2:$O$34,INT(A999/$Z$1)+2)</f>
        <v>0</v>
      </c>
      <c r="H999">
        <f t="shared" ca="1" si="123"/>
        <v>-0.69528306136510276</v>
      </c>
      <c r="I999">
        <f t="shared" ca="1" si="124"/>
        <v>-3.4764153068255137</v>
      </c>
      <c r="J999" s="3">
        <f t="shared" ca="1" si="125"/>
        <v>18.772642656857776</v>
      </c>
      <c r="K999" s="3">
        <f t="shared" ca="1" si="126"/>
        <v>0.92348637874418671</v>
      </c>
      <c r="L999" s="3"/>
    </row>
    <row r="1000" spans="1:12" x14ac:dyDescent="0.3">
      <c r="A1000">
        <v>998</v>
      </c>
      <c r="B1000" s="2">
        <f t="shared" si="120"/>
        <v>399200</v>
      </c>
      <c r="C1000" s="2">
        <f t="shared" si="121"/>
        <v>3.7593811264818805E-3</v>
      </c>
      <c r="D1000" s="2">
        <f t="shared" si="122"/>
        <v>-7.1487709796734293</v>
      </c>
      <c r="E1000" s="3">
        <f t="shared" si="127"/>
        <v>19.132212236587826</v>
      </c>
      <c r="F1000" cm="1">
        <f t="array" aca="1" ref="F1000" ca="1">INDEX($O$2:$O$34,INT(A1000/$Z$1)+1)</f>
        <v>22.249057963683288</v>
      </c>
      <c r="G1000" cm="1">
        <f t="array" aca="1" ref="G1000" ca="1">INDEX($O$2:$O$34,INT(A1000/$Z$1)+2)</f>
        <v>0</v>
      </c>
      <c r="H1000">
        <f t="shared" ca="1" si="123"/>
        <v>-0.69528306136510276</v>
      </c>
      <c r="I1000">
        <f t="shared" ca="1" si="124"/>
        <v>-4.1716983681906168</v>
      </c>
      <c r="J1000" s="3">
        <f t="shared" ca="1" si="125"/>
        <v>18.077359595492673</v>
      </c>
      <c r="K1000" s="3">
        <f t="shared" ca="1" si="126"/>
        <v>1.0548526410951524</v>
      </c>
      <c r="L1000" s="3"/>
    </row>
    <row r="1001" spans="1:12" x14ac:dyDescent="0.3">
      <c r="A1001">
        <v>999</v>
      </c>
      <c r="B1001" s="2">
        <f t="shared" si="120"/>
        <v>416250</v>
      </c>
      <c r="C1001" s="2">
        <f t="shared" si="121"/>
        <v>3.7639795350639165E-3</v>
      </c>
      <c r="D1001" s="2">
        <f t="shared" si="122"/>
        <v>-7.4737414857467002</v>
      </c>
      <c r="E1001" s="3">
        <f t="shared" si="127"/>
        <v>18.547265325655939</v>
      </c>
      <c r="F1001" cm="1">
        <f t="array" aca="1" ref="F1001" ca="1">INDEX($O$2:$O$34,INT(A1001/$Z$1)+1)</f>
        <v>22.249057963683288</v>
      </c>
      <c r="G1001" cm="1">
        <f t="array" aca="1" ref="G1001" ca="1">INDEX($O$2:$O$34,INT(A1001/$Z$1)+2)</f>
        <v>0</v>
      </c>
      <c r="H1001">
        <f t="shared" ca="1" si="123"/>
        <v>-0.69528306136510276</v>
      </c>
      <c r="I1001">
        <f t="shared" ca="1" si="124"/>
        <v>-4.866981429555719</v>
      </c>
      <c r="J1001" s="3">
        <f t="shared" ca="1" si="125"/>
        <v>17.38207653412757</v>
      </c>
      <c r="K1001" s="3">
        <f t="shared" ca="1" si="126"/>
        <v>1.1651887915283687</v>
      </c>
      <c r="L1001" s="3"/>
    </row>
    <row r="1002" spans="1:12" x14ac:dyDescent="0.3">
      <c r="A1002">
        <v>1000</v>
      </c>
      <c r="B1002" s="2">
        <f t="shared" si="120"/>
        <v>434782.60869565216</v>
      </c>
      <c r="C1002" s="2">
        <f t="shared" si="121"/>
        <v>3.7687688812583549E-3</v>
      </c>
      <c r="D1002" s="2">
        <f t="shared" si="122"/>
        <v>-7.8113625014569834</v>
      </c>
      <c r="E1002" s="3">
        <f t="shared" si="127"/>
        <v>17.939547497377429</v>
      </c>
      <c r="F1002" cm="1">
        <f t="array" aca="1" ref="F1002" ca="1">INDEX($O$2:$O$34,INT(A1002/$Z$1)+1)</f>
        <v>22.249057963683288</v>
      </c>
      <c r="G1002" cm="1">
        <f t="array" aca="1" ref="G1002" ca="1">INDEX($O$2:$O$34,INT(A1002/$Z$1)+2)</f>
        <v>0</v>
      </c>
      <c r="H1002">
        <f t="shared" ca="1" si="123"/>
        <v>-0.69528306136510276</v>
      </c>
      <c r="I1002">
        <f t="shared" ca="1" si="124"/>
        <v>-5.5622644909208221</v>
      </c>
      <c r="J1002" s="3">
        <f t="shared" ca="1" si="125"/>
        <v>16.686793472762467</v>
      </c>
      <c r="K1002" s="3">
        <f t="shared" ca="1" si="126"/>
        <v>1.252754024614962</v>
      </c>
      <c r="L1002" s="3"/>
    </row>
    <row r="1003" spans="1:12" x14ac:dyDescent="0.3">
      <c r="A1003">
        <v>1001</v>
      </c>
      <c r="B1003" s="2">
        <f t="shared" si="120"/>
        <v>455000</v>
      </c>
      <c r="C1003" s="2">
        <f t="shared" si="121"/>
        <v>3.7737661553532168E-3</v>
      </c>
      <c r="D1003" s="2">
        <f t="shared" si="122"/>
        <v>-8.1627276483558262</v>
      </c>
      <c r="E1003" s="3">
        <f t="shared" si="127"/>
        <v>17.307090232959514</v>
      </c>
      <c r="F1003" cm="1">
        <f t="array" aca="1" ref="F1003" ca="1">INDEX($O$2:$O$34,INT(A1003/$Z$1)+1)</f>
        <v>22.249057963683288</v>
      </c>
      <c r="G1003" cm="1">
        <f t="array" aca="1" ref="G1003" ca="1">INDEX($O$2:$O$34,INT(A1003/$Z$1)+2)</f>
        <v>0</v>
      </c>
      <c r="H1003">
        <f t="shared" ca="1" si="123"/>
        <v>-0.69528306136510276</v>
      </c>
      <c r="I1003">
        <f t="shared" ca="1" si="124"/>
        <v>-6.2575475522859252</v>
      </c>
      <c r="J1003" s="3">
        <f t="shared" ca="1" si="125"/>
        <v>15.991510411397364</v>
      </c>
      <c r="K1003" s="3">
        <f t="shared" ca="1" si="126"/>
        <v>1.3155798215621495</v>
      </c>
      <c r="L1003" s="3"/>
    </row>
    <row r="1004" spans="1:12" x14ac:dyDescent="0.3">
      <c r="A1004">
        <v>1002</v>
      </c>
      <c r="B1004" s="2">
        <f t="shared" si="120"/>
        <v>477142.85714285716</v>
      </c>
      <c r="C1004" s="2">
        <f t="shared" si="121"/>
        <v>3.7789907199456715E-3</v>
      </c>
      <c r="D1004" s="2">
        <f t="shared" si="122"/>
        <v>-8.5290802602509075</v>
      </c>
      <c r="E1004" s="3">
        <f t="shared" si="127"/>
        <v>16.647655531548367</v>
      </c>
      <c r="F1004" cm="1">
        <f t="array" aca="1" ref="F1004" ca="1">INDEX($O$2:$O$34,INT(A1004/$Z$1)+1)</f>
        <v>22.249057963683288</v>
      </c>
      <c r="G1004" cm="1">
        <f t="array" aca="1" ref="G1004" ca="1">INDEX($O$2:$O$34,INT(A1004/$Z$1)+2)</f>
        <v>0</v>
      </c>
      <c r="H1004">
        <f t="shared" ca="1" si="123"/>
        <v>-0.69528306136510276</v>
      </c>
      <c r="I1004">
        <f t="shared" ca="1" si="124"/>
        <v>-6.9528306136510274</v>
      </c>
      <c r="J1004" s="3">
        <f t="shared" ca="1" si="125"/>
        <v>15.296227350032261</v>
      </c>
      <c r="K1004" s="3">
        <f t="shared" ca="1" si="126"/>
        <v>1.3514281815161056</v>
      </c>
      <c r="L1004" s="3"/>
    </row>
    <row r="1005" spans="1:12" x14ac:dyDescent="0.3">
      <c r="A1005">
        <v>1003</v>
      </c>
      <c r="B1005" s="2">
        <f t="shared" si="120"/>
        <v>501500</v>
      </c>
      <c r="C1005" s="2">
        <f t="shared" si="121"/>
        <v>3.7844647732517803E-3</v>
      </c>
      <c r="D1005" s="2">
        <f t="shared" si="122"/>
        <v>-8.9118421849503306</v>
      </c>
      <c r="E1005" s="3">
        <f t="shared" si="127"/>
        <v>15.958684067089404</v>
      </c>
      <c r="F1005" cm="1">
        <f t="array" aca="1" ref="F1005" ca="1">INDEX($O$2:$O$34,INT(A1005/$Z$1)+1)</f>
        <v>22.249057963683288</v>
      </c>
      <c r="G1005" cm="1">
        <f t="array" aca="1" ref="G1005" ca="1">INDEX($O$2:$O$34,INT(A1005/$Z$1)+2)</f>
        <v>0</v>
      </c>
      <c r="H1005">
        <f t="shared" ca="1" si="123"/>
        <v>-0.69528306136510276</v>
      </c>
      <c r="I1005">
        <f t="shared" ca="1" si="124"/>
        <v>-7.6481136750161305</v>
      </c>
      <c r="J1005" s="3">
        <f t="shared" ca="1" si="125"/>
        <v>14.600944288667158</v>
      </c>
      <c r="K1005" s="3">
        <f t="shared" ca="1" si="126"/>
        <v>1.3577397784222462</v>
      </c>
      <c r="L1005" s="3"/>
    </row>
    <row r="1006" spans="1:12" x14ac:dyDescent="0.3">
      <c r="A1006">
        <v>1004</v>
      </c>
      <c r="B1006" s="2">
        <f t="shared" si="120"/>
        <v>528421.05263157899</v>
      </c>
      <c r="C1006" s="2">
        <f t="shared" si="121"/>
        <v>3.7902139313529789E-3</v>
      </c>
      <c r="D1006" s="2">
        <f t="shared" si="122"/>
        <v>-9.3126498895185819</v>
      </c>
      <c r="E1006" s="3">
        <f t="shared" si="127"/>
        <v>15.237230198866552</v>
      </c>
      <c r="F1006" cm="1">
        <f t="array" aca="1" ref="F1006" ca="1">INDEX($O$2:$O$34,INT(A1006/$Z$1)+1)</f>
        <v>22.249057963683288</v>
      </c>
      <c r="G1006" cm="1">
        <f t="array" aca="1" ref="G1006" ca="1">INDEX($O$2:$O$34,INT(A1006/$Z$1)+2)</f>
        <v>0</v>
      </c>
      <c r="H1006">
        <f t="shared" ca="1" si="123"/>
        <v>-0.69528306136510276</v>
      </c>
      <c r="I1006">
        <f t="shared" ca="1" si="124"/>
        <v>-8.3433967363812336</v>
      </c>
      <c r="J1006" s="3">
        <f t="shared" ca="1" si="125"/>
        <v>13.905661227302055</v>
      </c>
      <c r="K1006" s="3">
        <f t="shared" ca="1" si="126"/>
        <v>1.3315689715644972</v>
      </c>
      <c r="L1006" s="3"/>
    </row>
    <row r="1007" spans="1:12" x14ac:dyDescent="0.3">
      <c r="A1007">
        <v>1005</v>
      </c>
      <c r="B1007" s="2">
        <f t="shared" si="120"/>
        <v>558333.33333333337</v>
      </c>
      <c r="C1007" s="2">
        <f t="shared" si="121"/>
        <v>3.7962679680104547E-3</v>
      </c>
      <c r="D1007" s="2">
        <f t="shared" si="122"/>
        <v>-9.7334002165870857</v>
      </c>
      <c r="E1007" s="3">
        <f t="shared" si="127"/>
        <v>14.479879610143247</v>
      </c>
      <c r="F1007" cm="1">
        <f t="array" aca="1" ref="F1007" ca="1">INDEX($O$2:$O$34,INT(A1007/$Z$1)+1)</f>
        <v>22.249057963683288</v>
      </c>
      <c r="G1007" cm="1">
        <f t="array" aca="1" ref="G1007" ca="1">INDEX($O$2:$O$34,INT(A1007/$Z$1)+2)</f>
        <v>0</v>
      </c>
      <c r="H1007">
        <f t="shared" ca="1" si="123"/>
        <v>-0.69528306136510276</v>
      </c>
      <c r="I1007">
        <f t="shared" ca="1" si="124"/>
        <v>-9.0386797977463367</v>
      </c>
      <c r="J1007" s="3">
        <f t="shared" ca="1" si="125"/>
        <v>13.210378165936952</v>
      </c>
      <c r="K1007" s="3">
        <f t="shared" ca="1" si="126"/>
        <v>1.2695014442062948</v>
      </c>
      <c r="L1007" s="3"/>
    </row>
    <row r="1008" spans="1:12" x14ac:dyDescent="0.3">
      <c r="A1008">
        <v>1006</v>
      </c>
      <c r="B1008" s="2">
        <f t="shared" si="120"/>
        <v>591764.70588235289</v>
      </c>
      <c r="C1008" s="2">
        <f t="shared" si="121"/>
        <v>3.8026617661594251E-3</v>
      </c>
      <c r="D1008" s="2">
        <f t="shared" si="122"/>
        <v>-10.176309071403352</v>
      </c>
      <c r="E1008" s="3">
        <f t="shared" si="127"/>
        <v>13.682643671473965</v>
      </c>
      <c r="F1008" cm="1">
        <f t="array" aca="1" ref="F1008" ca="1">INDEX($O$2:$O$34,INT(A1008/$Z$1)+1)</f>
        <v>22.249057963683288</v>
      </c>
      <c r="G1008" cm="1">
        <f t="array" aca="1" ref="G1008" ca="1">INDEX($O$2:$O$34,INT(A1008/$Z$1)+2)</f>
        <v>0</v>
      </c>
      <c r="H1008">
        <f t="shared" ca="1" si="123"/>
        <v>-0.69528306136510276</v>
      </c>
      <c r="I1008">
        <f t="shared" ca="1" si="124"/>
        <v>-9.733962859111438</v>
      </c>
      <c r="J1008" s="3">
        <f t="shared" ca="1" si="125"/>
        <v>12.51509510457185</v>
      </c>
      <c r="K1008" s="3">
        <f t="shared" ca="1" si="126"/>
        <v>1.1675485669021146</v>
      </c>
      <c r="L1008" s="3"/>
    </row>
    <row r="1009" spans="1:12" x14ac:dyDescent="0.3">
      <c r="A1009">
        <v>1007</v>
      </c>
      <c r="B1009" s="2">
        <f t="shared" si="120"/>
        <v>629375</v>
      </c>
      <c r="C1009" s="2">
        <f t="shared" si="121"/>
        <v>3.8094365581989335E-3</v>
      </c>
      <c r="D1009" s="2">
        <f t="shared" si="122"/>
        <v>-10.643987700692719</v>
      </c>
      <c r="E1009" s="3">
        <f t="shared" si="127"/>
        <v>12.840822138753104</v>
      </c>
      <c r="F1009" cm="1">
        <f t="array" aca="1" ref="F1009" ca="1">INDEX($O$2:$O$34,INT(A1009/$Z$1)+1)</f>
        <v>22.249057963683288</v>
      </c>
      <c r="G1009" cm="1">
        <f t="array" aca="1" ref="G1009" ca="1">INDEX($O$2:$O$34,INT(A1009/$Z$1)+2)</f>
        <v>0</v>
      </c>
      <c r="H1009">
        <f t="shared" ca="1" si="123"/>
        <v>-0.69528306136510276</v>
      </c>
      <c r="I1009">
        <f t="shared" ca="1" si="124"/>
        <v>-10.429245920476541</v>
      </c>
      <c r="J1009" s="3">
        <f t="shared" ca="1" si="125"/>
        <v>11.819812043206747</v>
      </c>
      <c r="K1009" s="3">
        <f t="shared" ca="1" si="126"/>
        <v>1.021010095546357</v>
      </c>
      <c r="L1009" s="3"/>
    </row>
    <row r="1010" spans="1:12" x14ac:dyDescent="0.3">
      <c r="A1010">
        <v>1008</v>
      </c>
      <c r="B1010" s="2">
        <f t="shared" si="120"/>
        <v>672000</v>
      </c>
      <c r="C1010" s="2">
        <f t="shared" si="121"/>
        <v>3.8166415670992204E-3</v>
      </c>
      <c r="D1010" s="2">
        <f t="shared" si="122"/>
        <v>-11.139543314638615</v>
      </c>
      <c r="E1010" s="3">
        <f t="shared" si="127"/>
        <v>11.948822033650494</v>
      </c>
      <c r="F1010" cm="1">
        <f t="array" aca="1" ref="F1010" ca="1">INDEX($O$2:$O$34,INT(A1010/$Z$1)+1)</f>
        <v>22.249057963683288</v>
      </c>
      <c r="G1010" cm="1">
        <f t="array" aca="1" ref="G1010" ca="1">INDEX($O$2:$O$34,INT(A1010/$Z$1)+2)</f>
        <v>0</v>
      </c>
      <c r="H1010">
        <f t="shared" ca="1" si="123"/>
        <v>-0.69528306136510276</v>
      </c>
      <c r="I1010">
        <f t="shared" ca="1" si="124"/>
        <v>-11.124528981841644</v>
      </c>
      <c r="J1010" s="3">
        <f t="shared" ca="1" si="125"/>
        <v>11.124528981841644</v>
      </c>
      <c r="K1010" s="3">
        <f t="shared" ca="1" si="126"/>
        <v>0.8242930518088496</v>
      </c>
      <c r="L1010" s="3"/>
    </row>
    <row r="1011" spans="1:12" x14ac:dyDescent="0.3">
      <c r="A1011">
        <v>1009</v>
      </c>
      <c r="B1011" s="2">
        <f t="shared" si="120"/>
        <v>720714.28571428568</v>
      </c>
      <c r="C1011" s="2">
        <f t="shared" si="121"/>
        <v>3.8243362145688018E-3</v>
      </c>
      <c r="D1011" s="2">
        <f t="shared" si="122"/>
        <v>-11.666714040334114</v>
      </c>
      <c r="E1011" s="3">
        <f t="shared" si="127"/>
        <v>10.999914727398597</v>
      </c>
      <c r="F1011" cm="1">
        <f t="array" aca="1" ref="F1011" ca="1">INDEX($O$2:$O$34,INT(A1011/$Z$1)+1)</f>
        <v>22.249057963683288</v>
      </c>
      <c r="G1011" cm="1">
        <f t="array" aca="1" ref="G1011" ca="1">INDEX($O$2:$O$34,INT(A1011/$Z$1)+2)</f>
        <v>0</v>
      </c>
      <c r="H1011">
        <f t="shared" ca="1" si="123"/>
        <v>-0.69528306136510276</v>
      </c>
      <c r="I1011">
        <f t="shared" ca="1" si="124"/>
        <v>-11.819812043206747</v>
      </c>
      <c r="J1011" s="3">
        <f t="shared" ca="1" si="125"/>
        <v>10.429245920476541</v>
      </c>
      <c r="K1011" s="3">
        <f t="shared" ca="1" si="126"/>
        <v>0.57066880692205579</v>
      </c>
      <c r="L1011" s="3"/>
    </row>
    <row r="1012" spans="1:12" x14ac:dyDescent="0.3">
      <c r="A1012">
        <v>1010</v>
      </c>
      <c r="B1012" s="2">
        <f t="shared" si="120"/>
        <v>776923.07692307688</v>
      </c>
      <c r="C1012" s="2">
        <f t="shared" si="121"/>
        <v>3.8325931489782026E-3</v>
      </c>
      <c r="D1012" s="2">
        <f t="shared" si="122"/>
        <v>-12.230053340228039</v>
      </c>
      <c r="E1012" s="3">
        <f t="shared" si="127"/>
        <v>9.9859039875895306</v>
      </c>
      <c r="F1012" cm="1">
        <f t="array" aca="1" ref="F1012" ca="1">INDEX($O$2:$O$34,INT(A1012/$Z$1)+1)</f>
        <v>22.249057963683288</v>
      </c>
      <c r="G1012" cm="1">
        <f t="array" aca="1" ref="G1012" ca="1">INDEX($O$2:$O$34,INT(A1012/$Z$1)+2)</f>
        <v>0</v>
      </c>
      <c r="H1012">
        <f t="shared" ca="1" si="123"/>
        <v>-0.69528306136510276</v>
      </c>
      <c r="I1012">
        <f t="shared" ca="1" si="124"/>
        <v>-12.51509510457185</v>
      </c>
      <c r="J1012" s="3">
        <f t="shared" ca="1" si="125"/>
        <v>9.733962859111438</v>
      </c>
      <c r="K1012" s="3">
        <f t="shared" ca="1" si="126"/>
        <v>0.25194112847809258</v>
      </c>
      <c r="L1012" s="3"/>
    </row>
    <row r="1013" spans="1:12" x14ac:dyDescent="0.3">
      <c r="A1013">
        <v>1011</v>
      </c>
      <c r="B1013" s="2">
        <f t="shared" si="120"/>
        <v>842500</v>
      </c>
      <c r="C1013" s="2">
        <f t="shared" si="121"/>
        <v>3.8415024877294862E-3</v>
      </c>
      <c r="D1013" s="2">
        <f t="shared" si="122"/>
        <v>-12.835187450952674</v>
      </c>
      <c r="E1013" s="3">
        <f t="shared" si="127"/>
        <v>8.8966625882851886</v>
      </c>
      <c r="F1013" cm="1">
        <f t="array" aca="1" ref="F1013" ca="1">INDEX($O$2:$O$34,INT(A1013/$Z$1)+1)</f>
        <v>22.249057963683288</v>
      </c>
      <c r="G1013" cm="1">
        <f t="array" aca="1" ref="G1013" ca="1">INDEX($O$2:$O$34,INT(A1013/$Z$1)+2)</f>
        <v>0</v>
      </c>
      <c r="H1013">
        <f t="shared" ca="1" si="123"/>
        <v>-0.69528306136510276</v>
      </c>
      <c r="I1013">
        <f t="shared" ca="1" si="124"/>
        <v>-13.210378165936952</v>
      </c>
      <c r="J1013" s="3">
        <f t="shared" ca="1" si="125"/>
        <v>9.0386797977463367</v>
      </c>
      <c r="K1013" s="3">
        <f t="shared" ca="1" si="126"/>
        <v>-0.14201720946114804</v>
      </c>
      <c r="L1013" s="3"/>
    </row>
    <row r="1014" spans="1:12" x14ac:dyDescent="0.3">
      <c r="A1014">
        <v>1012</v>
      </c>
      <c r="B1014" s="2">
        <f t="shared" si="120"/>
        <v>920000</v>
      </c>
      <c r="C1014" s="2">
        <f t="shared" si="121"/>
        <v>3.8511779099578859E-3</v>
      </c>
      <c r="D1014" s="2">
        <f t="shared" si="122"/>
        <v>-13.489183652272402</v>
      </c>
      <c r="E1014" s="3">
        <f t="shared" si="127"/>
        <v>7.7194694259096757</v>
      </c>
      <c r="F1014" cm="1">
        <f t="array" aca="1" ref="F1014" ca="1">INDEX($O$2:$O$34,INT(A1014/$Z$1)+1)</f>
        <v>22.249057963683288</v>
      </c>
      <c r="G1014" cm="1">
        <f t="array" aca="1" ref="G1014" ca="1">INDEX($O$2:$O$34,INT(A1014/$Z$1)+2)</f>
        <v>0</v>
      </c>
      <c r="H1014">
        <f t="shared" ca="1" si="123"/>
        <v>-0.69528306136510276</v>
      </c>
      <c r="I1014">
        <f t="shared" ca="1" si="124"/>
        <v>-13.905661227302055</v>
      </c>
      <c r="J1014" s="3">
        <f t="shared" ca="1" si="125"/>
        <v>8.3433967363812336</v>
      </c>
      <c r="K1014" s="3">
        <f t="shared" ca="1" si="126"/>
        <v>-0.62392731047155792</v>
      </c>
      <c r="L1014" s="3"/>
    </row>
    <row r="1015" spans="1:12" x14ac:dyDescent="0.3">
      <c r="A1015">
        <v>1013</v>
      </c>
      <c r="B1015" s="2">
        <f t="shared" si="120"/>
        <v>1013000</v>
      </c>
      <c r="C1015" s="2">
        <f t="shared" si="121"/>
        <v>3.8617656613540189E-3</v>
      </c>
      <c r="D1015" s="2">
        <f t="shared" si="122"/>
        <v>-14.201092248466921</v>
      </c>
      <c r="E1015" s="3">
        <f t="shared" si="127"/>
        <v>6.4380339527595432</v>
      </c>
      <c r="F1015" cm="1">
        <f t="array" aca="1" ref="F1015" ca="1">INDEX($O$2:$O$34,INT(A1015/$Z$1)+1)</f>
        <v>22.249057963683288</v>
      </c>
      <c r="G1015" cm="1">
        <f t="array" aca="1" ref="G1015" ca="1">INDEX($O$2:$O$34,INT(A1015/$Z$1)+2)</f>
        <v>0</v>
      </c>
      <c r="H1015">
        <f t="shared" ca="1" si="123"/>
        <v>-0.69528306136510276</v>
      </c>
      <c r="I1015">
        <f t="shared" ca="1" si="124"/>
        <v>-14.600944288667158</v>
      </c>
      <c r="J1015" s="3">
        <f t="shared" ca="1" si="125"/>
        <v>7.6481136750161305</v>
      </c>
      <c r="K1015" s="3">
        <f t="shared" ca="1" si="126"/>
        <v>-1.2100797222565873</v>
      </c>
      <c r="L1015" s="3"/>
    </row>
    <row r="1016" spans="1:12" x14ac:dyDescent="0.3">
      <c r="A1016">
        <v>1014</v>
      </c>
      <c r="B1016" s="2">
        <f t="shared" si="120"/>
        <v>1126666.6666666667</v>
      </c>
      <c r="C1016" s="2">
        <f t="shared" si="121"/>
        <v>3.873458319631921E-3</v>
      </c>
      <c r="D1016" s="2">
        <f t="shared" si="122"/>
        <v>-14.982771264974929</v>
      </c>
      <c r="E1016" s="3">
        <f t="shared" si="127"/>
        <v>5.031011723045129</v>
      </c>
      <c r="F1016" cm="1">
        <f t="array" aca="1" ref="F1016" ca="1">INDEX($O$2:$O$34,INT(A1016/$Z$1)+1)</f>
        <v>22.249057963683288</v>
      </c>
      <c r="G1016" cm="1">
        <f t="array" aca="1" ref="G1016" ca="1">INDEX($O$2:$O$34,INT(A1016/$Z$1)+2)</f>
        <v>0</v>
      </c>
      <c r="H1016">
        <f t="shared" ca="1" si="123"/>
        <v>-0.69528306136510276</v>
      </c>
      <c r="I1016">
        <f t="shared" ca="1" si="124"/>
        <v>-15.296227350032261</v>
      </c>
      <c r="J1016" s="3">
        <f t="shared" ca="1" si="125"/>
        <v>6.9528306136510274</v>
      </c>
      <c r="K1016" s="3">
        <f t="shared" ca="1" si="126"/>
        <v>-1.9218188906058984</v>
      </c>
      <c r="L1016" s="3"/>
    </row>
    <row r="1017" spans="1:12" x14ac:dyDescent="0.3">
      <c r="A1017">
        <v>1015</v>
      </c>
      <c r="B1017" s="2">
        <f t="shared" si="120"/>
        <v>1268750</v>
      </c>
      <c r="C1017" s="2">
        <f t="shared" si="121"/>
        <v>3.8865167018342743E-3</v>
      </c>
      <c r="D1017" s="2">
        <f t="shared" si="122"/>
        <v>-15.850192301234244</v>
      </c>
      <c r="E1017" s="3">
        <f t="shared" si="127"/>
        <v>3.4696538577783613</v>
      </c>
      <c r="F1017" cm="1">
        <f t="array" aca="1" ref="F1017" ca="1">INDEX($O$2:$O$34,INT(A1017/$Z$1)+1)</f>
        <v>22.249057963683288</v>
      </c>
      <c r="G1017" cm="1">
        <f t="array" aca="1" ref="G1017" ca="1">INDEX($O$2:$O$34,INT(A1017/$Z$1)+2)</f>
        <v>0</v>
      </c>
      <c r="H1017">
        <f t="shared" ca="1" si="123"/>
        <v>-0.69528306136510276</v>
      </c>
      <c r="I1017">
        <f t="shared" ca="1" si="124"/>
        <v>-15.991510411397364</v>
      </c>
      <c r="J1017" s="3">
        <f t="shared" ca="1" si="125"/>
        <v>6.2575475522859243</v>
      </c>
      <c r="K1017" s="3">
        <f t="shared" ca="1" si="126"/>
        <v>-2.787893694507563</v>
      </c>
      <c r="L1017" s="3"/>
    </row>
    <row r="1018" spans="1:12" x14ac:dyDescent="0.3">
      <c r="A1018">
        <v>1016</v>
      </c>
      <c r="B1018" s="2">
        <f t="shared" si="120"/>
        <v>1451428.5714285714</v>
      </c>
      <c r="C1018" s="2">
        <f t="shared" si="121"/>
        <v>3.9013064771953767E-3</v>
      </c>
      <c r="D1018" s="2">
        <f t="shared" si="122"/>
        <v>-16.825610761322878</v>
      </c>
      <c r="E1018" s="3">
        <f t="shared" si="127"/>
        <v>1.7139006296188199</v>
      </c>
      <c r="F1018" cm="1">
        <f t="array" aca="1" ref="F1018" ca="1">INDEX($O$2:$O$34,INT(A1018/$Z$1)+1)</f>
        <v>22.249057963683288</v>
      </c>
      <c r="G1018" cm="1">
        <f t="array" aca="1" ref="G1018" ca="1">INDEX($O$2:$O$34,INT(A1018/$Z$1)+2)</f>
        <v>0</v>
      </c>
      <c r="H1018">
        <f t="shared" ca="1" si="123"/>
        <v>-0.69528306136510276</v>
      </c>
      <c r="I1018">
        <f t="shared" ca="1" si="124"/>
        <v>-16.686793472762467</v>
      </c>
      <c r="J1018" s="3">
        <f t="shared" ca="1" si="125"/>
        <v>5.5622644909208212</v>
      </c>
      <c r="K1018" s="3">
        <f t="shared" ca="1" si="126"/>
        <v>-3.8483638613020013</v>
      </c>
      <c r="L1018" s="3"/>
    </row>
    <row r="1019" spans="1:12" x14ac:dyDescent="0.3">
      <c r="A1019">
        <v>1017</v>
      </c>
      <c r="B1019" s="2">
        <f t="shared" si="120"/>
        <v>1695000</v>
      </c>
      <c r="C1019" s="2">
        <f t="shared" si="121"/>
        <v>3.9183631948170117E-3</v>
      </c>
      <c r="D1019" s="2">
        <f t="shared" si="122"/>
        <v>-17.941396233319239</v>
      </c>
      <c r="E1019" s="3">
        <f t="shared" si="127"/>
        <v>-0.29451321997463253</v>
      </c>
      <c r="F1019" cm="1">
        <f t="array" aca="1" ref="F1019" ca="1">INDEX($O$2:$O$34,INT(A1019/$Z$1)+1)</f>
        <v>22.249057963683288</v>
      </c>
      <c r="G1019" cm="1">
        <f t="array" aca="1" ref="G1019" ca="1">INDEX($O$2:$O$34,INT(A1019/$Z$1)+2)</f>
        <v>0</v>
      </c>
      <c r="H1019">
        <f t="shared" ca="1" si="123"/>
        <v>-0.69528306136510276</v>
      </c>
      <c r="I1019">
        <f t="shared" ca="1" si="124"/>
        <v>-17.38207653412757</v>
      </c>
      <c r="J1019" s="3">
        <f t="shared" ca="1" si="125"/>
        <v>4.8669814295557181</v>
      </c>
      <c r="K1019" s="3">
        <f t="shared" ca="1" si="126"/>
        <v>-5.1614946495303506</v>
      </c>
      <c r="L1019" s="3"/>
    </row>
    <row r="1020" spans="1:12" x14ac:dyDescent="0.3">
      <c r="A1020">
        <v>1018</v>
      </c>
      <c r="B1020" s="2">
        <f t="shared" si="120"/>
        <v>2036000</v>
      </c>
      <c r="C1020" s="2">
        <f t="shared" si="121"/>
        <v>3.9385171368741308E-3</v>
      </c>
      <c r="D1020" s="2">
        <f t="shared" si="122"/>
        <v>-19.247334289202399</v>
      </c>
      <c r="E1020" s="3">
        <f t="shared" si="127"/>
        <v>-2.6452017205643159</v>
      </c>
      <c r="F1020" cm="1">
        <f t="array" aca="1" ref="F1020" ca="1">INDEX($O$2:$O$34,INT(A1020/$Z$1)+1)</f>
        <v>22.249057963683288</v>
      </c>
      <c r="G1020" cm="1">
        <f t="array" aca="1" ref="G1020" ca="1">INDEX($O$2:$O$34,INT(A1020/$Z$1)+2)</f>
        <v>0</v>
      </c>
      <c r="H1020">
        <f t="shared" ca="1" si="123"/>
        <v>-0.69528306136510276</v>
      </c>
      <c r="I1020">
        <f t="shared" ca="1" si="124"/>
        <v>-18.077359595492673</v>
      </c>
      <c r="J1020" s="3">
        <f t="shared" ca="1" si="125"/>
        <v>4.171698368190615</v>
      </c>
      <c r="K1020" s="3">
        <f t="shared" ca="1" si="126"/>
        <v>-6.8169000887549309</v>
      </c>
      <c r="L1020" s="3"/>
    </row>
    <row r="1021" spans="1:12" x14ac:dyDescent="0.3">
      <c r="A1021">
        <v>1019</v>
      </c>
      <c r="B1021" s="2">
        <f t="shared" si="120"/>
        <v>2547500</v>
      </c>
      <c r="C1021" s="2">
        <f t="shared" si="121"/>
        <v>3.9631592682700147E-3</v>
      </c>
      <c r="D1021" s="2">
        <f t="shared" si="122"/>
        <v>-20.826050264687751</v>
      </c>
      <c r="E1021" s="3">
        <f t="shared" si="127"/>
        <v>-5.4868904764379494</v>
      </c>
      <c r="F1021" cm="1">
        <f t="array" aca="1" ref="F1021" ca="1">INDEX($O$2:$O$34,INT(A1021/$Z$1)+1)</f>
        <v>22.249057963683288</v>
      </c>
      <c r="G1021" cm="1">
        <f t="array" aca="1" ref="G1021" ca="1">INDEX($O$2:$O$34,INT(A1021/$Z$1)+2)</f>
        <v>0</v>
      </c>
      <c r="H1021">
        <f t="shared" ca="1" si="123"/>
        <v>-0.69528306136510276</v>
      </c>
      <c r="I1021">
        <f t="shared" ca="1" si="124"/>
        <v>-18.772642656857773</v>
      </c>
      <c r="J1021" s="3">
        <f t="shared" ca="1" si="125"/>
        <v>3.4764153068255155</v>
      </c>
      <c r="K1021" s="3">
        <f t="shared" ca="1" si="126"/>
        <v>-8.9633057832634648</v>
      </c>
      <c r="L1021" s="3"/>
    </row>
    <row r="1022" spans="1:12" x14ac:dyDescent="0.3">
      <c r="A1022">
        <v>1020</v>
      </c>
      <c r="B1022" s="2">
        <f t="shared" si="120"/>
        <v>3400000</v>
      </c>
      <c r="C1022" s="2">
        <f t="shared" si="121"/>
        <v>3.9948971731722403E-3</v>
      </c>
      <c r="D1022" s="2">
        <f t="shared" si="122"/>
        <v>-22.830665946671417</v>
      </c>
      <c r="E1022" s="3">
        <f t="shared" si="127"/>
        <v>-9.0951987040085527</v>
      </c>
      <c r="F1022" cm="1">
        <f t="array" aca="1" ref="F1022" ca="1">INDEX($O$2:$O$34,INT(A1022/$Z$1)+1)</f>
        <v>22.249057963683288</v>
      </c>
      <c r="G1022" cm="1">
        <f t="array" aca="1" ref="G1022" ca="1">INDEX($O$2:$O$34,INT(A1022/$Z$1)+2)</f>
        <v>0</v>
      </c>
      <c r="H1022">
        <f t="shared" ca="1" si="123"/>
        <v>-0.69528306136510276</v>
      </c>
      <c r="I1022">
        <f t="shared" ca="1" si="124"/>
        <v>-19.467925718222876</v>
      </c>
      <c r="J1022" s="3">
        <f t="shared" ca="1" si="125"/>
        <v>2.7811322454604124</v>
      </c>
      <c r="K1022" s="3">
        <f t="shared" ca="1" si="126"/>
        <v>-11.876330949468965</v>
      </c>
      <c r="L1022" s="3"/>
    </row>
    <row r="1023" spans="1:12" x14ac:dyDescent="0.3">
      <c r="A1023">
        <v>1021</v>
      </c>
      <c r="B1023" s="2">
        <f t="shared" si="120"/>
        <v>5105000</v>
      </c>
      <c r="C1023" s="2">
        <f t="shared" si="121"/>
        <v>4.0395849780787401E-3</v>
      </c>
      <c r="D1023" s="2">
        <f t="shared" si="122"/>
        <v>-25.599817140470634</v>
      </c>
      <c r="E1023" s="3">
        <f t="shared" si="127"/>
        <v>-14.079670852847144</v>
      </c>
      <c r="F1023" cm="1">
        <f t="array" aca="1" ref="F1023" ca="1">INDEX($O$2:$O$34,INT(A1023/$Z$1)+1)</f>
        <v>22.249057963683288</v>
      </c>
      <c r="G1023" cm="1">
        <f t="array" aca="1" ref="G1023" ca="1">INDEX($O$2:$O$34,INT(A1023/$Z$1)+2)</f>
        <v>0</v>
      </c>
      <c r="H1023">
        <f t="shared" ca="1" si="123"/>
        <v>-0.69528306136510276</v>
      </c>
      <c r="I1023">
        <f t="shared" ca="1" si="124"/>
        <v>-20.163208779587979</v>
      </c>
      <c r="J1023" s="3">
        <f t="shared" ca="1" si="125"/>
        <v>2.0858491840953093</v>
      </c>
      <c r="K1023" s="3">
        <f t="shared" ca="1" si="126"/>
        <v>-16.165520036942453</v>
      </c>
      <c r="L1023" s="3"/>
    </row>
    <row r="1024" spans="1:12" x14ac:dyDescent="0.3">
      <c r="A1024">
        <v>1022</v>
      </c>
      <c r="B1024" s="2">
        <f t="shared" si="120"/>
        <v>10220000</v>
      </c>
      <c r="C1024" s="2">
        <f t="shared" si="121"/>
        <v>4.1159027374143772E-3</v>
      </c>
      <c r="D1024" s="2">
        <f t="shared" si="122"/>
        <v>-30.189934177792765</v>
      </c>
      <c r="E1024" s="3">
        <f t="shared" si="127"/>
        <v>-22.34188152002698</v>
      </c>
      <c r="F1024" cm="1">
        <f t="array" aca="1" ref="F1024" ca="1">INDEX($O$2:$O$34,INT(A1024/$Z$1)+1)</f>
        <v>22.249057963683288</v>
      </c>
      <c r="G1024" cm="1">
        <f t="array" aca="1" ref="G1024" ca="1">INDEX($O$2:$O$34,INT(A1024/$Z$1)+2)</f>
        <v>0</v>
      </c>
      <c r="H1024">
        <f t="shared" ca="1" si="123"/>
        <v>-0.69528306136510276</v>
      </c>
      <c r="I1024">
        <f t="shared" ca="1" si="124"/>
        <v>-20.858491840953082</v>
      </c>
      <c r="J1024" s="3">
        <f t="shared" ca="1" si="125"/>
        <v>1.3905661227302062</v>
      </c>
      <c r="K1024" s="3">
        <f t="shared" ca="1" si="126"/>
        <v>-23.732447642757187</v>
      </c>
      <c r="L1024" s="3"/>
    </row>
    <row r="1025" spans="1:12" x14ac:dyDescent="0.3">
      <c r="A1025">
        <v>1023</v>
      </c>
      <c r="B1025" s="2" t="e">
        <f t="shared" si="120"/>
        <v>#DIV/0!</v>
      </c>
      <c r="C1025" s="2" t="e">
        <f t="shared" si="121"/>
        <v>#DIV/0!</v>
      </c>
      <c r="D1025" s="2" t="e">
        <f t="shared" si="122"/>
        <v>#DIV/0!</v>
      </c>
      <c r="E1025" s="3" t="e">
        <f t="shared" si="127"/>
        <v>#DIV/0!</v>
      </c>
      <c r="F1025" cm="1">
        <f t="array" aca="1" ref="F1025" ca="1">INDEX($O$2:$O$34,INT(A1025/$Z$1)+1)</f>
        <v>22.249057963683288</v>
      </c>
      <c r="G1025" cm="1">
        <f t="array" aca="1" ref="G1025" ca="1">INDEX($O$2:$O$34,INT(A1025/$Z$1)+2)</f>
        <v>0</v>
      </c>
      <c r="H1025">
        <f t="shared" ca="1" si="123"/>
        <v>-0.69528306136510276</v>
      </c>
      <c r="I1025">
        <f t="shared" ca="1" si="124"/>
        <v>-21.553774902318185</v>
      </c>
      <c r="J1025" s="3">
        <f t="shared" ca="1" si="125"/>
        <v>0.69528306136510309</v>
      </c>
      <c r="K1025" s="3" t="e">
        <f t="shared" ca="1" si="126"/>
        <v>#DIV/0!</v>
      </c>
      <c r="L1025" s="3"/>
    </row>
  </sheetData>
  <conditionalFormatting sqref="K2:K1025">
    <cfRule type="cellIs" dxfId="1" priority="1" operator="lessThan">
      <formula>-0.2</formula>
    </cfRule>
    <cfRule type="cellIs" dxfId="0" priority="2" operator="greaterThan">
      <formula>0.2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 taylor</cp:lastModifiedBy>
  <dcterms:created xsi:type="dcterms:W3CDTF">2023-12-26T16:16:42Z</dcterms:created>
  <dcterms:modified xsi:type="dcterms:W3CDTF">2024-03-10T20:10:54Z</dcterms:modified>
</cp:coreProperties>
</file>