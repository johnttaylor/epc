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workspaces\zoe\epc\src\Ajax\Main\"/>
    </mc:Choice>
  </mc:AlternateContent>
  <xr:revisionPtr revIDLastSave="0" documentId="13_ncr:1_{1461D257-8DFA-4C3C-BE16-E909371B93BA}" xr6:coauthVersionLast="47" xr6:coauthVersionMax="47" xr10:uidLastSave="{00000000-0000-0000-0000-000000000000}"/>
  <bookViews>
    <workbookView xWindow="25140" yWindow="1608" windowWidth="33732" windowHeight="14856" xr2:uid="{5D926F89-C45E-40B5-872C-2218E715C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5" i="1"/>
  <c r="D3" i="1"/>
  <c r="D10" i="1"/>
  <c r="D8" i="1"/>
  <c r="C3" i="1"/>
  <c r="C13" i="1"/>
  <c r="C8" i="1"/>
  <c r="C9" i="1"/>
  <c r="C10" i="1"/>
  <c r="D13" i="1"/>
  <c r="C6" i="1"/>
  <c r="C7" i="1"/>
  <c r="C4" i="1"/>
  <c r="C5" i="1"/>
  <c r="C2" i="1"/>
  <c r="B3" i="1" s="1"/>
  <c r="C12" i="1" l="1"/>
  <c r="C14" i="1" s="1"/>
  <c r="B4" i="1"/>
  <c r="B5" i="1" s="1"/>
  <c r="B6" i="1" s="1"/>
  <c r="B7" i="1" s="1"/>
  <c r="B8" i="1" s="1"/>
  <c r="B9" i="1" s="1"/>
  <c r="B10" i="1" s="1"/>
  <c r="D14" i="1" l="1"/>
  <c r="D12" i="1"/>
</calcChain>
</file>

<file path=xl/sharedStrings.xml><?xml version="1.0" encoding="utf-8"?>
<sst xmlns="http://schemas.openxmlformats.org/spreadsheetml/2006/main" count="21" uniqueCount="17">
  <si>
    <t>Record</t>
  </si>
  <si>
    <t>Region Start</t>
  </si>
  <si>
    <t>Region Length</t>
  </si>
  <si>
    <t>Data Len</t>
  </si>
  <si>
    <t>Chunk Overhead</t>
  </si>
  <si>
    <t>Personality-A</t>
  </si>
  <si>
    <t>Personality-B</t>
  </si>
  <si>
    <t>UserSettings-B</t>
  </si>
  <si>
    <t>Metrics-A</t>
  </si>
  <si>
    <t>Reserved/ expansion</t>
  </si>
  <si>
    <t>Allocated</t>
  </si>
  <si>
    <t>Available</t>
  </si>
  <si>
    <t>Capacity</t>
  </si>
  <si>
    <t>K</t>
  </si>
  <si>
    <t>Log Entries</t>
  </si>
  <si>
    <t>LogIndex-A</t>
  </si>
  <si>
    <t>LogIndex-B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</si>
</sst>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164" fontId="0" fillId="0" borderId="0" xfId="0" applyNumberForma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A1A2-4A72-41D3-B178-81B86F5876A6}">
  <dimension ref="A1:F14"/>
  <sheetViews>
    <sheetView tabSelected="1" workbookViewId="0">
      <selection activeCell="D3" sqref="D3"/>
    </sheetView>
  </sheetViews>
  <sheetFormatPr defaultRowHeight="14.4" x14ac:dyDescent="0.3"/>
  <cols>
    <col min="1" max="1" width="12.88671875" style="1" bestFit="1" customWidth="1"/>
    <col min="2" max="6" width="10" style="1" customWidth="1"/>
    <col min="7" max="7" width="9" style="1" customWidth="1"/>
    <col min="8" max="16384" width="8.88671875" style="1"/>
  </cols>
  <sheetData>
    <row r="1" spans="1:6" ht="28.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9</v>
      </c>
    </row>
    <row r="2" spans="1:6" x14ac:dyDescent="0.3">
      <c r="A2" s="3" t="s">
        <v>5</v>
      </c>
      <c r="B2" s="4">
        <v>0</v>
      </c>
      <c r="C2" s="4">
        <f>SUM(D2:F2)</f>
        <v>273</v>
      </c>
      <c r="D2" s="10">
        <v>193</v>
      </c>
      <c r="E2" s="4">
        <v>16</v>
      </c>
      <c r="F2" s="4">
        <v>64</v>
      </c>
    </row>
    <row r="3" spans="1:6" x14ac:dyDescent="0.3">
      <c r="A3" s="3" t="s">
        <v>6</v>
      </c>
      <c r="B3" s="4">
        <f>B2+C2</f>
        <v>273</v>
      </c>
      <c r="C3" s="4">
        <f>SUM(D3:F3)</f>
        <v>273</v>
      </c>
      <c r="D3" s="9">
        <f>D2</f>
        <v>193</v>
      </c>
      <c r="E3" s="4">
        <v>16</v>
      </c>
      <c r="F3" s="4">
        <v>64</v>
      </c>
    </row>
    <row r="4" spans="1:6" x14ac:dyDescent="0.3">
      <c r="A4" s="3" t="s">
        <v>7</v>
      </c>
      <c r="B4" s="4">
        <f t="shared" ref="B4:B5" si="0">B3+C3</f>
        <v>546</v>
      </c>
      <c r="C4" s="4">
        <f t="shared" ref="C4:C5" si="1">SUM(D4:F4)</f>
        <v>94</v>
      </c>
      <c r="D4" s="10">
        <v>14</v>
      </c>
      <c r="E4" s="4">
        <v>16</v>
      </c>
      <c r="F4" s="4">
        <v>64</v>
      </c>
    </row>
    <row r="5" spans="1:6" x14ac:dyDescent="0.3">
      <c r="A5" s="3" t="s">
        <v>7</v>
      </c>
      <c r="B5" s="4">
        <f t="shared" si="0"/>
        <v>640</v>
      </c>
      <c r="C5" s="4">
        <f t="shared" si="1"/>
        <v>94</v>
      </c>
      <c r="D5" s="9">
        <f>D4</f>
        <v>14</v>
      </c>
      <c r="E5" s="4">
        <v>16</v>
      </c>
      <c r="F5" s="4">
        <v>64</v>
      </c>
    </row>
    <row r="6" spans="1:6" x14ac:dyDescent="0.3">
      <c r="A6" s="3" t="s">
        <v>8</v>
      </c>
      <c r="B6" s="4">
        <f t="shared" ref="B6:B7" si="2">B5+C5</f>
        <v>734</v>
      </c>
      <c r="C6" s="4">
        <f t="shared" ref="C6:C7" si="3">SUM(D6:F6)</f>
        <v>119</v>
      </c>
      <c r="D6" s="10">
        <v>39</v>
      </c>
      <c r="E6" s="4">
        <v>16</v>
      </c>
      <c r="F6" s="4">
        <v>64</v>
      </c>
    </row>
    <row r="7" spans="1:6" x14ac:dyDescent="0.3">
      <c r="A7" s="3" t="s">
        <v>8</v>
      </c>
      <c r="B7" s="4">
        <f t="shared" si="2"/>
        <v>853</v>
      </c>
      <c r="C7" s="4">
        <f t="shared" si="3"/>
        <v>119</v>
      </c>
      <c r="D7" s="9">
        <f>D6</f>
        <v>39</v>
      </c>
      <c r="E7" s="4">
        <v>16</v>
      </c>
      <c r="F7" s="4">
        <v>64</v>
      </c>
    </row>
    <row r="8" spans="1:6" x14ac:dyDescent="0.3">
      <c r="A8" s="3" t="s">
        <v>14</v>
      </c>
      <c r="B8" s="4">
        <f t="shared" ref="B8:B10" si="4">B7+C7</f>
        <v>972</v>
      </c>
      <c r="C8" s="4">
        <f t="shared" ref="C8:C10" si="5">SUM(D8:F8)</f>
        <v>44800</v>
      </c>
      <c r="D8" s="10">
        <f>(159+8+8)*256</f>
        <v>44800</v>
      </c>
      <c r="E8" s="4">
        <v>0</v>
      </c>
      <c r="F8" s="4">
        <v>0</v>
      </c>
    </row>
    <row r="9" spans="1:6" x14ac:dyDescent="0.3">
      <c r="A9" s="3" t="s">
        <v>15</v>
      </c>
      <c r="B9" s="4">
        <f t="shared" si="4"/>
        <v>45772</v>
      </c>
      <c r="C9" s="4">
        <f t="shared" si="5"/>
        <v>60</v>
      </c>
      <c r="D9" s="10">
        <v>12</v>
      </c>
      <c r="E9" s="4">
        <v>16</v>
      </c>
      <c r="F9" s="4">
        <v>32</v>
      </c>
    </row>
    <row r="10" spans="1:6" x14ac:dyDescent="0.3">
      <c r="A10" s="3" t="s">
        <v>16</v>
      </c>
      <c r="B10" s="4">
        <f t="shared" si="4"/>
        <v>45832</v>
      </c>
      <c r="C10" s="4">
        <f t="shared" si="5"/>
        <v>60</v>
      </c>
      <c r="D10" s="4">
        <f>D9</f>
        <v>12</v>
      </c>
      <c r="E10" s="4">
        <v>16</v>
      </c>
      <c r="F10" s="4">
        <v>32</v>
      </c>
    </row>
    <row r="11" spans="1:6" x14ac:dyDescent="0.3">
      <c r="A11" s="2"/>
    </row>
    <row r="12" spans="1:6" x14ac:dyDescent="0.3">
      <c r="A12" s="2" t="s">
        <v>10</v>
      </c>
      <c r="C12" s="2">
        <f>SUM(C2:C10)</f>
        <v>45892</v>
      </c>
      <c r="D12" s="8">
        <f>C12/1024</f>
        <v>44.81640625</v>
      </c>
      <c r="E12" s="1" t="s">
        <v>13</v>
      </c>
    </row>
    <row r="13" spans="1:6" x14ac:dyDescent="0.3">
      <c r="A13" s="2" t="s">
        <v>12</v>
      </c>
      <c r="C13" s="1">
        <f>64*1024</f>
        <v>65536</v>
      </c>
      <c r="D13" s="7">
        <f>C13/1024</f>
        <v>64</v>
      </c>
      <c r="E13" s="1" t="s">
        <v>13</v>
      </c>
    </row>
    <row r="14" spans="1:6" x14ac:dyDescent="0.3">
      <c r="A14" s="2" t="s">
        <v>11</v>
      </c>
      <c r="C14" s="2">
        <f>C13-C12</f>
        <v>19644</v>
      </c>
      <c r="D14" s="8">
        <f>C14/1024</f>
        <v>19.18359375</v>
      </c>
      <c r="E1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taylor</dc:creator>
  <cp:lastModifiedBy>john taylor</cp:lastModifiedBy>
  <dcterms:created xsi:type="dcterms:W3CDTF">2023-08-20T17:38:42Z</dcterms:created>
  <dcterms:modified xsi:type="dcterms:W3CDTF">2024-03-24T14:21:03Z</dcterms:modified>
</cp:coreProperties>
</file>